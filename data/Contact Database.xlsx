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576" tabRatio="600" firstSheet="7" activeTab="13" autoFilterDateGrouping="1"/>
    <workbookView visibility="visible" minimized="1" showHorizontalScroll="1" showVerticalScroll="1" showSheetTabs="1" xWindow="2964" yWindow="2088" windowWidth="17280" windowHeight="9060" tabRatio="600" firstSheet="6" activeTab="11" autoFilterDateGrouping="1"/>
  </bookViews>
  <sheets>
    <sheet xmlns:r="http://schemas.openxmlformats.org/officeDocument/2006/relationships" name="Admin" sheetId="1" state="visible" r:id="rId1"/>
    <sheet xmlns:r="http://schemas.openxmlformats.org/officeDocument/2006/relationships" name="Company_Cat" sheetId="2" state="visible" r:id="rId2"/>
    <sheet xmlns:r="http://schemas.openxmlformats.org/officeDocument/2006/relationships" name="Order Dates" sheetId="3" state="visible" r:id="rId3"/>
    <sheet xmlns:r="http://schemas.openxmlformats.org/officeDocument/2006/relationships" name="Sheet1" sheetId="4" state="visible" r:id="rId4"/>
    <sheet xmlns:r="http://schemas.openxmlformats.org/officeDocument/2006/relationships" name="Company_Contacts" sheetId="5" state="visible" r:id="rId5"/>
    <sheet xmlns:r="http://schemas.openxmlformats.org/officeDocument/2006/relationships" name="Company_Notes" sheetId="6" state="visible" r:id="rId6"/>
    <sheet xmlns:r="http://schemas.openxmlformats.org/officeDocument/2006/relationships" name="Company_Addresses" sheetId="7" state="visible" r:id="rId7"/>
    <sheet xmlns:r="http://schemas.openxmlformats.org/officeDocument/2006/relationships" name="CAA" sheetId="8" state="visible" r:id="rId8"/>
    <sheet xmlns:r="http://schemas.openxmlformats.org/officeDocument/2006/relationships" name="Aviation Codes" sheetId="9" state="visible" r:id="rId9"/>
    <sheet xmlns:r="http://schemas.openxmlformats.org/officeDocument/2006/relationships" name="Sheet" sheetId="10" state="visible" r:id="rId10"/>
    <sheet xmlns:r="http://schemas.openxmlformats.org/officeDocument/2006/relationships" name="Sheet 1" sheetId="11" state="visible" r:id="rId11"/>
    <sheet xmlns:r="http://schemas.openxmlformats.org/officeDocument/2006/relationships" name="Flight schools" sheetId="12" state="visible" r:id="rId12"/>
    <sheet xmlns:r="http://schemas.openxmlformats.org/officeDocument/2006/relationships" name="FL extended" sheetId="13" state="visible" r:id="rId13"/>
    <sheet xmlns:r="http://schemas.openxmlformats.org/officeDocument/2006/relationships" name="10-10-25 Capture" sheetId="14" state="visible" r:id="rId14"/>
  </sheets>
  <definedNames>
    <definedName name="_xlnm._FilterDatabase" localSheetId="2" hidden="1">'Order Dates'!$A$1:$D$8220</definedName>
    <definedName name="_xlnm._FilterDatabase" localSheetId="4" hidden="1">'Company_Contacts'!$A$1:$I$1000</definedName>
    <definedName name="_xlnm._FilterDatabase" localSheetId="7" hidden="1">'CAA'!$A$2:$F$311</definedName>
    <definedName name="_xlnm._FilterDatabase" localSheetId="11" hidden="1">'Flight schools'!$A$1:$R$49</definedName>
  </definedNames>
  <calcPr calcId="191028" fullCalcOnLoad="1"/>
</workbook>
</file>

<file path=xl/styles.xml><?xml version="1.0" encoding="utf-8"?>
<styleSheet xmlns="http://schemas.openxmlformats.org/spreadsheetml/2006/main">
  <numFmts count="3">
    <numFmt numFmtId="164" formatCode="yyyy\-mm\-dd;@"/>
    <numFmt numFmtId="165" formatCode="YYYY-MM-DD HH:MM:SS"/>
    <numFmt numFmtId="166" formatCode="yyyy-mm-dd h:mm:ss"/>
  </numFmts>
  <fonts count="32">
    <font>
      <name val="Arial"/>
      <family val="2"/>
      <color theme="1"/>
      <sz val="11"/>
      <scheme val="minor"/>
    </font>
    <font>
      <name val="Arial"/>
      <family val="2"/>
      <color theme="1"/>
      <sz val="12"/>
      <scheme val="minor"/>
    </font>
    <font>
      <name val="Arial"/>
      <family val="2"/>
      <color theme="1"/>
      <sz val="10"/>
      <scheme val="minor"/>
    </font>
    <font>
      <name val="Arial"/>
      <family val="2"/>
      <b val="1"/>
      <color theme="1"/>
      <sz val="11"/>
      <scheme val="minor"/>
    </font>
    <font>
      <name val="Aptos Narrow"/>
      <family val="2"/>
      <color rgb="FF000000"/>
      <sz val="12"/>
    </font>
    <font>
      <name val="Ubuntu"/>
      <family val="2"/>
      <color rgb="FF444444"/>
      <sz val="10"/>
    </font>
    <font>
      <name val="Arial"/>
      <family val="2"/>
      <color theme="10"/>
      <sz val="11"/>
      <u val="single"/>
      <scheme val="minor"/>
    </font>
    <font>
      <name val="PublicoText-Semibold"/>
      <color rgb="FF323541"/>
      <sz val="13"/>
    </font>
    <font>
      <name val="Times New Roman"/>
      <family val="1"/>
      <color rgb="FF000000"/>
      <sz val="10"/>
    </font>
    <font>
      <name val="Calibri"/>
      <family val="2"/>
      <b val="1"/>
      <sz val="16"/>
    </font>
    <font>
      <name val="Calibri"/>
      <family val="2"/>
      <b val="1"/>
      <sz val="11"/>
    </font>
    <font>
      <name val="Times New Roman"/>
      <charset val="204"/>
      <family val="1"/>
      <b val="1"/>
      <color rgb="FF000000"/>
      <sz val="10"/>
    </font>
    <font>
      <name val="Calibri"/>
      <family val="2"/>
      <color rgb="FF000000"/>
      <sz val="11"/>
    </font>
    <font>
      <name val="Calibri"/>
      <family val="2"/>
      <sz val="11"/>
    </font>
    <font>
      <name val="CIDFont+F2"/>
      <color rgb="FF000000"/>
      <sz val="10"/>
    </font>
    <font>
      <name val="Arial"/>
      <family val="2"/>
      <color rgb="FF000000"/>
      <sz val="10"/>
      <scheme val="major"/>
    </font>
    <font>
      <name val="Arial"/>
      <family val="2"/>
      <color theme="1"/>
      <sz val="10"/>
      <scheme val="major"/>
    </font>
    <font>
      <name val="Arial"/>
      <family val="2"/>
      <b val="1"/>
      <color rgb="FF000000"/>
      <sz val="11"/>
    </font>
    <font>
      <name val="Arial"/>
      <family val="2"/>
      <color rgb="FF000000"/>
      <sz val="11"/>
    </font>
    <font>
      <name val="Arial"/>
      <family val="2"/>
      <color rgb="FF000000"/>
      <sz val="11"/>
      <scheme val="minor"/>
    </font>
    <font>
      <name val="Arial"/>
      <family val="2"/>
      <color theme="1"/>
      <sz val="11"/>
      <scheme val="minor"/>
    </font>
    <font>
      <name val="Arial (Body)"/>
      <color rgb="FFFF0000"/>
      <sz val="11"/>
    </font>
    <font>
      <name val="Arial"/>
      <family val="2"/>
      <b val="1"/>
      <color rgb="FF000000"/>
      <sz val="11"/>
      <scheme val="minor"/>
    </font>
    <font>
      <name val="Arial"/>
      <family val="2"/>
      <color rgb="FF000000"/>
      <sz val="11"/>
      <scheme val="minor"/>
    </font>
    <font>
      <name val="Arial"/>
      <family val="2"/>
      <color theme="0"/>
      <sz val="11"/>
      <scheme val="minor"/>
    </font>
    <font>
      <name val="Calibri"/>
      <family val="2"/>
      <b val="1"/>
      <color theme="1"/>
      <sz val="11"/>
    </font>
    <font>
      <name val="Calibri"/>
      <family val="2"/>
      <color theme="1"/>
      <sz val="12"/>
    </font>
    <font>
      <name val="Calibri"/>
      <family val="2"/>
      <color theme="10"/>
      <sz val="12"/>
      <u val="single"/>
    </font>
    <font>
      <name val="Calibri"/>
      <family val="2"/>
      <color theme="0"/>
      <sz val="12"/>
    </font>
    <font>
      <name val="Arial"/>
      <family val="2"/>
      <color theme="0"/>
      <sz val="12"/>
      <u val="single"/>
      <scheme val="minor"/>
    </font>
    <font>
      <name val="Calibri"/>
      <family val="2"/>
      <color theme="0"/>
      <sz val="12"/>
      <u val="single"/>
    </font>
    <font>
      <b val="1"/>
    </font>
  </fonts>
  <fills count="19">
    <fill>
      <patternFill/>
    </fill>
    <fill>
      <patternFill patternType="gray125"/>
    </fill>
    <fill>
      <patternFill patternType="solid">
        <fgColor theme="5" tint="0.7999816888943144"/>
        <bgColor indexed="64"/>
      </patternFill>
    </fill>
    <fill>
      <patternFill patternType="solid">
        <fgColor theme="6" tint="0.5999938962981048"/>
        <bgColor indexed="64"/>
      </patternFill>
    </fill>
    <fill>
      <patternFill patternType="solid">
        <fgColor rgb="FFFFFF00"/>
        <bgColor indexed="64"/>
      </patternFill>
    </fill>
    <fill>
      <patternFill patternType="solid">
        <fgColor rgb="FF5B9BD4"/>
      </patternFill>
    </fill>
    <fill>
      <patternFill patternType="solid">
        <fgColor theme="7" tint="0.5999938962981048"/>
        <bgColor indexed="64"/>
      </patternFill>
    </fill>
    <fill>
      <patternFill patternType="solid">
        <fgColor theme="5" tint="0.5999938962981048"/>
        <bgColor indexed="64"/>
      </patternFill>
    </fill>
    <fill>
      <patternFill patternType="solid">
        <fgColor theme="4" tint="0.3999755851924192"/>
        <bgColor indexed="64"/>
      </patternFill>
    </fill>
    <fill>
      <patternFill patternType="solid">
        <fgColor theme="4" tint="0.7999816888943144"/>
        <bgColor indexed="64"/>
      </patternFill>
    </fill>
    <fill>
      <patternFill patternType="solid">
        <fgColor theme="6" tint="0.3999755851924192"/>
        <bgColor indexed="64"/>
      </patternFill>
    </fill>
    <fill>
      <patternFill patternType="solid">
        <fgColor theme="3" tint="0.7999816888943144"/>
        <bgColor indexed="64"/>
      </patternFill>
    </fill>
    <fill>
      <patternFill patternType="solid">
        <fgColor theme="9" tint="0.3999755851924192"/>
        <bgColor indexed="64"/>
      </patternFill>
    </fill>
    <fill>
      <patternFill patternType="solid">
        <fgColor theme="0" tint="-0.249977111117893"/>
        <bgColor indexed="64"/>
      </patternFill>
    </fill>
    <fill>
      <patternFill patternType="solid">
        <fgColor theme="1"/>
        <bgColor indexed="64"/>
      </patternFill>
    </fill>
    <fill>
      <patternFill patternType="solid">
        <fgColor theme="7" tint="0.3999755851924192"/>
        <bgColor indexed="64"/>
      </patternFill>
    </fill>
    <fill>
      <patternFill patternType="solid">
        <fgColor theme="7"/>
        <bgColor indexed="64"/>
      </patternFill>
    </fill>
    <fill>
      <patternFill patternType="solid">
        <fgColor theme="2" tint="-0.249977111117893"/>
        <bgColor indexed="64"/>
      </patternFill>
    </fill>
    <fill>
      <patternFill patternType="solid">
        <fgColor theme="2" tint="-0.49998474074526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style="thin">
        <color indexed="64"/>
      </right>
      <top/>
      <bottom/>
      <diagonal/>
    </border>
    <border>
      <left/>
      <right/>
      <top/>
      <bottom style="medium">
        <color theme="1"/>
      </bottom>
      <diagonal/>
    </border>
    <border>
      <left/>
      <right/>
      <top style="thin">
        <color indexed="64"/>
      </top>
      <bottom/>
      <diagonal/>
    </border>
    <border>
      <left/>
      <right style="thin">
        <color indexed="64"/>
      </right>
      <top style="thin">
        <color indexed="64"/>
      </top>
      <bottom/>
      <diagonal/>
    </border>
    <border>
      <left style="thin">
        <color rgb="FF000000"/>
      </left>
      <right/>
      <top/>
      <bottom/>
      <diagonal/>
    </border>
    <border>
      <left style="thin"/>
      <right style="thin"/>
      <top style="thin"/>
      <bottom style="thin"/>
    </border>
  </borders>
  <cellStyleXfs count="3">
    <xf numFmtId="0" fontId="20" fillId="0" borderId="0"/>
    <xf numFmtId="0" fontId="6" fillId="0" borderId="0"/>
    <xf numFmtId="0" fontId="8" fillId="0" borderId="0"/>
  </cellStyleXfs>
  <cellXfs count="207">
    <xf numFmtId="0" fontId="0" fillId="0" borderId="0" pivotButton="0" quotePrefix="0" xfId="0"/>
    <xf numFmtId="0" fontId="2" fillId="0" borderId="0" pivotButton="0" quotePrefix="0" xfId="0"/>
    <xf numFmtId="0" fontId="3" fillId="0" borderId="0" pivotButton="0" quotePrefix="0" xfId="0"/>
    <xf numFmtId="0" fontId="3" fillId="2" borderId="1" pivotButton="0" quotePrefix="0" xfId="0"/>
    <xf numFmtId="0" fontId="0" fillId="2" borderId="1" pivotButton="0" quotePrefix="0" xfId="0"/>
    <xf numFmtId="0" fontId="3" fillId="0" borderId="1" pivotButton="0" quotePrefix="0" xfId="0"/>
    <xf numFmtId="0" fontId="0" fillId="3" borderId="1" pivotButton="0" quotePrefix="0" xfId="0"/>
    <xf numFmtId="0" fontId="0" fillId="3" borderId="0" pivotButton="0" quotePrefix="0" xfId="0"/>
    <xf numFmtId="0" fontId="0" fillId="2" borderId="2" pivotButton="0" quotePrefix="0" xfId="0"/>
    <xf numFmtId="164" fontId="3" fillId="0" borderId="0" pivotButton="0" quotePrefix="0" xfId="0"/>
    <xf numFmtId="164" fontId="0" fillId="2" borderId="2" pivotButton="0" quotePrefix="0" xfId="0"/>
    <xf numFmtId="164" fontId="0" fillId="0" borderId="0" pivotButton="0" quotePrefix="0" xfId="0"/>
    <xf numFmtId="0" fontId="0" fillId="4" borderId="0" pivotButton="0" quotePrefix="0" xfId="0"/>
    <xf numFmtId="49" fontId="0" fillId="0" borderId="0" pivotButton="0" quotePrefix="0" xfId="0"/>
    <xf numFmtId="0" fontId="4" fillId="0" borderId="0" pivotButton="0" quotePrefix="0" xfId="0"/>
    <xf numFmtId="0" fontId="5" fillId="0" borderId="0" applyAlignment="1" pivotButton="0" quotePrefix="0" xfId="0">
      <alignment horizontal="left" vertical="center" wrapText="1"/>
    </xf>
    <xf numFmtId="0" fontId="6" fillId="0" borderId="0" pivotButton="0" quotePrefix="0" xfId="1"/>
    <xf numFmtId="0" fontId="7" fillId="0" borderId="0" pivotButton="0" quotePrefix="0" xfId="0"/>
    <xf numFmtId="1" fontId="0" fillId="0" borderId="0" applyAlignment="1" pivotButton="0" quotePrefix="0" xfId="0">
      <alignment horizontal="right"/>
    </xf>
    <xf numFmtId="1" fontId="0" fillId="0" borderId="0" applyAlignment="1" pivotButton="0" quotePrefix="0" xfId="0">
      <alignment horizontal="right" wrapText="1"/>
    </xf>
    <xf numFmtId="49" fontId="0" fillId="0" borderId="0" applyAlignment="1" pivotButton="0" quotePrefix="0" xfId="0">
      <alignment horizontal="left"/>
    </xf>
    <xf numFmtId="0" fontId="0" fillId="0" borderId="0" applyAlignment="1" pivotButton="0" quotePrefix="0" xfId="0">
      <alignment horizontal="right"/>
    </xf>
    <xf numFmtId="0" fontId="8" fillId="0" borderId="0" applyAlignment="1" pivotButton="0" quotePrefix="0" xfId="2">
      <alignment horizontal="left" vertical="top"/>
    </xf>
    <xf numFmtId="0" fontId="10" fillId="5" borderId="5" applyAlignment="1" pivotButton="0" quotePrefix="0" xfId="2">
      <alignment horizontal="left" vertical="top" wrapText="1"/>
    </xf>
    <xf numFmtId="0" fontId="11" fillId="0" borderId="0" applyAlignment="1" pivotButton="0" quotePrefix="0" xfId="2">
      <alignment horizontal="left" vertical="top"/>
    </xf>
    <xf numFmtId="1" fontId="12" fillId="0" borderId="5" applyAlignment="1" pivotButton="0" quotePrefix="0" xfId="2">
      <alignment horizontal="right" vertical="top" shrinkToFit="1" indent="1"/>
    </xf>
    <xf numFmtId="1" fontId="12" fillId="0" borderId="5" applyAlignment="1" pivotButton="0" quotePrefix="0" xfId="2">
      <alignment horizontal="center" vertical="top" shrinkToFit="1"/>
    </xf>
    <xf numFmtId="0" fontId="13" fillId="0" borderId="5" applyAlignment="1" pivotButton="0" quotePrefix="0" xfId="2">
      <alignment horizontal="left" vertical="top" wrapText="1" indent="3"/>
    </xf>
    <xf numFmtId="0" fontId="13" fillId="0" borderId="5" applyAlignment="1" pivotButton="0" quotePrefix="0" xfId="2">
      <alignment horizontal="left" vertical="top" wrapText="1"/>
    </xf>
    <xf numFmtId="0" fontId="13" fillId="0" borderId="5" applyAlignment="1" pivotButton="0" quotePrefix="0" xfId="2">
      <alignment horizontal="right" vertical="top" wrapText="1" indent="1"/>
    </xf>
    <xf numFmtId="1" fontId="12" fillId="6" borderId="5" applyAlignment="1" pivotButton="0" quotePrefix="0" xfId="2">
      <alignment horizontal="right" vertical="top" shrinkToFit="1" indent="1"/>
    </xf>
    <xf numFmtId="1" fontId="12" fillId="6" borderId="5" applyAlignment="1" pivotButton="0" quotePrefix="0" xfId="2">
      <alignment horizontal="center" vertical="top" shrinkToFit="1"/>
    </xf>
    <xf numFmtId="0" fontId="13" fillId="6" borderId="5" applyAlignment="1" pivotButton="0" quotePrefix="0" xfId="2">
      <alignment horizontal="left" vertical="top" wrapText="1" indent="8"/>
    </xf>
    <xf numFmtId="0" fontId="13" fillId="6" borderId="5" applyAlignment="1" pivotButton="0" quotePrefix="0" xfId="2">
      <alignment horizontal="center" vertical="top" wrapText="1"/>
    </xf>
    <xf numFmtId="0" fontId="13" fillId="6" borderId="5" applyAlignment="1" pivotButton="0" quotePrefix="0" xfId="2">
      <alignment horizontal="left" vertical="top" wrapText="1" indent="3"/>
    </xf>
    <xf numFmtId="0" fontId="13" fillId="6" borderId="5" applyAlignment="1" pivotButton="0" quotePrefix="0" xfId="2">
      <alignment horizontal="left" vertical="top" wrapText="1" indent="5"/>
    </xf>
    <xf numFmtId="0" fontId="13" fillId="0" borderId="5" applyAlignment="1" pivotButton="0" quotePrefix="0" xfId="2">
      <alignment horizontal="left" vertical="top" wrapText="1" indent="8"/>
    </xf>
    <xf numFmtId="0" fontId="13" fillId="0" borderId="5" applyAlignment="1" pivotButton="0" quotePrefix="0" xfId="2">
      <alignment horizontal="center" vertical="top" wrapText="1"/>
    </xf>
    <xf numFmtId="0" fontId="13" fillId="0" borderId="5" applyAlignment="1" pivotButton="0" quotePrefix="0" xfId="2">
      <alignment horizontal="left" vertical="top" wrapText="1" indent="9"/>
    </xf>
    <xf numFmtId="0" fontId="13" fillId="0" borderId="5" applyAlignment="1" pivotButton="0" quotePrefix="0" xfId="2">
      <alignment horizontal="left" vertical="top" wrapText="1" indent="2"/>
    </xf>
    <xf numFmtId="0" fontId="13" fillId="0" borderId="5" applyAlignment="1" pivotButton="0" quotePrefix="0" xfId="2">
      <alignment horizontal="left" vertical="top" wrapText="1" indent="4"/>
    </xf>
    <xf numFmtId="0" fontId="13" fillId="0" borderId="5" applyAlignment="1" pivotButton="0" quotePrefix="0" xfId="2">
      <alignment horizontal="right" vertical="top" wrapText="1" indent="2"/>
    </xf>
    <xf numFmtId="0" fontId="13" fillId="6" borderId="5" applyAlignment="1" pivotButton="0" quotePrefix="0" xfId="2">
      <alignment horizontal="left" vertical="top" wrapText="1" indent="7"/>
    </xf>
    <xf numFmtId="0" fontId="13" fillId="0" borderId="5" applyAlignment="1" pivotButton="0" quotePrefix="0" xfId="2">
      <alignment horizontal="left" vertical="top" wrapText="1" indent="7"/>
    </xf>
    <xf numFmtId="0" fontId="13" fillId="6" borderId="5" applyAlignment="1" pivotButton="0" quotePrefix="0" xfId="2">
      <alignment horizontal="left" vertical="top" wrapText="1" indent="6"/>
    </xf>
    <xf numFmtId="0" fontId="13" fillId="0" borderId="5" applyAlignment="1" pivotButton="0" quotePrefix="0" xfId="2">
      <alignment horizontal="left" vertical="top" wrapText="1" indent="6"/>
    </xf>
    <xf numFmtId="0" fontId="13" fillId="0" borderId="5" applyAlignment="1" pivotButton="0" quotePrefix="0" xfId="2">
      <alignment horizontal="left" vertical="top" wrapText="1" indent="5"/>
    </xf>
    <xf numFmtId="0" fontId="13" fillId="0" borderId="5" applyAlignment="1" pivotButton="0" quotePrefix="0" xfId="2">
      <alignment horizontal="left" vertical="top" wrapText="1" indent="1"/>
    </xf>
    <xf numFmtId="0" fontId="13" fillId="6" borderId="5" applyAlignment="1" pivotButton="0" quotePrefix="0" xfId="2">
      <alignment horizontal="right" vertical="top" wrapText="1" indent="2"/>
    </xf>
    <xf numFmtId="0" fontId="13" fillId="6" borderId="5" applyAlignment="1" pivotButton="0" quotePrefix="0" xfId="2">
      <alignment horizontal="left" vertical="top" wrapText="1" indent="4"/>
    </xf>
    <xf numFmtId="0" fontId="8" fillId="0" borderId="5" applyAlignment="1" pivotButton="0" quotePrefix="0" xfId="2">
      <alignment horizontal="center" vertical="top" wrapText="1"/>
    </xf>
    <xf numFmtId="0" fontId="8" fillId="0" borderId="7" applyAlignment="1" pivotButton="0" quotePrefix="0" xfId="2">
      <alignment horizontal="left" wrapText="1"/>
    </xf>
    <xf numFmtId="0" fontId="8" fillId="6" borderId="5" applyAlignment="1" pivotButton="0" quotePrefix="0" xfId="2">
      <alignment horizontal="center" vertical="top" wrapText="1"/>
    </xf>
    <xf numFmtId="1" fontId="12" fillId="7" borderId="5" applyAlignment="1" pivotButton="0" quotePrefix="0" xfId="2">
      <alignment horizontal="center" vertical="top" shrinkToFit="1"/>
    </xf>
    <xf numFmtId="0" fontId="13" fillId="7" borderId="5" applyAlignment="1" pivotButton="0" quotePrefix="0" xfId="2">
      <alignment horizontal="center" vertical="top" wrapText="1"/>
    </xf>
    <xf numFmtId="1" fontId="12" fillId="3" borderId="5" applyAlignment="1" pivotButton="0" quotePrefix="0" xfId="2">
      <alignment horizontal="center" vertical="top" shrinkToFit="1"/>
    </xf>
    <xf numFmtId="0" fontId="13" fillId="3" borderId="5" applyAlignment="1" pivotButton="0" quotePrefix="0" xfId="2">
      <alignment horizontal="center" vertical="top" wrapText="1"/>
    </xf>
    <xf numFmtId="0" fontId="13" fillId="3" borderId="5" applyAlignment="1" pivotButton="0" quotePrefix="0" xfId="2">
      <alignment horizontal="left" vertical="top" wrapText="1" indent="3"/>
    </xf>
    <xf numFmtId="0" fontId="13" fillId="3" borderId="5" applyAlignment="1" pivotButton="0" quotePrefix="0" xfId="2">
      <alignment horizontal="left" vertical="top" wrapText="1" indent="5"/>
    </xf>
    <xf numFmtId="0" fontId="13" fillId="0" borderId="5" applyAlignment="1" pivotButton="0" quotePrefix="0" xfId="2">
      <alignment horizontal="right" vertical="top" wrapText="1" indent="3"/>
    </xf>
    <xf numFmtId="0" fontId="13" fillId="3" borderId="5" applyAlignment="1" pivotButton="0" quotePrefix="0" xfId="2">
      <alignment horizontal="left" vertical="top" wrapText="1" indent="4"/>
    </xf>
    <xf numFmtId="0" fontId="13" fillId="3" borderId="5" applyAlignment="1" pivotButton="0" quotePrefix="0" xfId="2">
      <alignment horizontal="left" vertical="top" wrapText="1"/>
    </xf>
    <xf numFmtId="0" fontId="8" fillId="3" borderId="5" applyAlignment="1" pivotButton="0" quotePrefix="0" xfId="2">
      <alignment horizontal="left" vertical="top" wrapText="1"/>
    </xf>
    <xf numFmtId="0" fontId="8" fillId="0" borderId="5" applyAlignment="1" pivotButton="0" quotePrefix="0" xfId="2">
      <alignment horizontal="left" vertical="top" wrapText="1"/>
    </xf>
    <xf numFmtId="1" fontId="12" fillId="8" borderId="5" applyAlignment="1" pivotButton="0" quotePrefix="0" xfId="2">
      <alignment horizontal="right" vertical="top" shrinkToFit="1" indent="1"/>
    </xf>
    <xf numFmtId="1" fontId="12" fillId="8" borderId="5" applyAlignment="1" pivotButton="0" quotePrefix="0" xfId="2">
      <alignment horizontal="center" vertical="top" shrinkToFit="1"/>
    </xf>
    <xf numFmtId="0" fontId="13" fillId="8" borderId="5" applyAlignment="1" pivotButton="0" quotePrefix="0" xfId="2">
      <alignment horizontal="center" vertical="top" wrapText="1"/>
    </xf>
    <xf numFmtId="0" fontId="13" fillId="8" borderId="5" applyAlignment="1" pivotButton="0" quotePrefix="0" xfId="2">
      <alignment horizontal="left" vertical="top" wrapText="1" indent="7"/>
    </xf>
    <xf numFmtId="0" fontId="13" fillId="8" borderId="5" applyAlignment="1" pivotButton="0" quotePrefix="0" xfId="2">
      <alignment horizontal="left" vertical="top" wrapText="1" indent="3"/>
    </xf>
    <xf numFmtId="0" fontId="8" fillId="8" borderId="0" applyAlignment="1" pivotButton="0" quotePrefix="0" xfId="2">
      <alignment horizontal="left" vertical="top"/>
    </xf>
    <xf numFmtId="14" fontId="0" fillId="0" borderId="0" pivotButton="0" quotePrefix="0" xfId="0"/>
    <xf numFmtId="0" fontId="15" fillId="0" borderId="0" pivotButton="0" quotePrefix="0" xfId="0"/>
    <xf numFmtId="0" fontId="15" fillId="0" borderId="0" applyAlignment="1" pivotButton="0" quotePrefix="0" xfId="0">
      <alignment vertical="center" wrapText="1"/>
    </xf>
    <xf numFmtId="14" fontId="15" fillId="0" borderId="0" applyAlignment="1" pivotButton="0" quotePrefix="0" xfId="0">
      <alignment vertical="center" wrapText="1"/>
    </xf>
    <xf numFmtId="14" fontId="16" fillId="0" borderId="0" pivotButton="0" quotePrefix="0" xfId="0"/>
    <xf numFmtId="0" fontId="16" fillId="0" borderId="0" pivotButton="0" quotePrefix="0" xfId="0"/>
    <xf numFmtId="14" fontId="3" fillId="0" borderId="0" pivotButton="0" quotePrefix="0" xfId="0"/>
    <xf numFmtId="14" fontId="0" fillId="3" borderId="1" pivotButton="0" quotePrefix="0" xfId="0"/>
    <xf numFmtId="0" fontId="14" fillId="3" borderId="0" applyAlignment="1" pivotButton="0" quotePrefix="0" xfId="0">
      <alignment vertical="center" wrapText="1"/>
    </xf>
    <xf numFmtId="0" fontId="15" fillId="0" borderId="1" pivotButton="0" quotePrefix="0" xfId="0"/>
    <xf numFmtId="14" fontId="16" fillId="0" borderId="1" pivotButton="0" quotePrefix="0" xfId="0"/>
    <xf numFmtId="0" fontId="16" fillId="0" borderId="1" pivotButton="0" quotePrefix="0" xfId="0"/>
    <xf numFmtId="0" fontId="15" fillId="0" borderId="1" applyAlignment="1" pivotButton="0" quotePrefix="0" xfId="0">
      <alignment vertical="center" wrapText="1"/>
    </xf>
    <xf numFmtId="14" fontId="15" fillId="0" borderId="1" applyAlignment="1" pivotButton="0" quotePrefix="0" xfId="0">
      <alignment vertical="center" wrapText="1"/>
    </xf>
    <xf numFmtId="0" fontId="0" fillId="2" borderId="9" pivotButton="0" quotePrefix="0" xfId="0"/>
    <xf numFmtId="1" fontId="16" fillId="0" borderId="1" applyAlignment="1" pivotButton="0" quotePrefix="0" xfId="0">
      <alignment horizontal="center"/>
    </xf>
    <xf numFmtId="1" fontId="15" fillId="0" borderId="1" applyAlignment="1" pivotButton="0" quotePrefix="0" xfId="0">
      <alignment horizontal="center" vertical="center" wrapText="1"/>
    </xf>
    <xf numFmtId="1" fontId="16" fillId="0" borderId="0" applyAlignment="1" pivotButton="0" quotePrefix="0" xfId="0">
      <alignment horizontal="center"/>
    </xf>
    <xf numFmtId="1" fontId="15" fillId="0" borderId="0" applyAlignment="1" pivotButton="0" quotePrefix="0" xfId="0">
      <alignment horizontal="center" vertical="center" wrapText="1"/>
    </xf>
    <xf numFmtId="1" fontId="16" fillId="0" borderId="1" applyAlignment="1" pivotButton="0" quotePrefix="0" xfId="0">
      <alignment horizontal="left"/>
    </xf>
    <xf numFmtId="0" fontId="18" fillId="0" borderId="0" pivotButton="0" quotePrefix="0" xfId="0"/>
    <xf numFmtId="0" fontId="17" fillId="0" borderId="0" applyAlignment="1" pivotButton="0" quotePrefix="0" xfId="0">
      <alignment wrapText="1"/>
    </xf>
    <xf numFmtId="0" fontId="18" fillId="0" borderId="0" applyAlignment="1" pivotButton="0" quotePrefix="0" xfId="0">
      <alignment wrapText="1"/>
    </xf>
    <xf numFmtId="0" fontId="18" fillId="0" borderId="0" applyAlignment="1" pivotButton="0" quotePrefix="1" xfId="0">
      <alignment wrapText="1"/>
    </xf>
    <xf numFmtId="0" fontId="20" fillId="0" borderId="0" pivotButton="0" quotePrefix="1" xfId="0"/>
    <xf numFmtId="0" fontId="21" fillId="0" borderId="0" pivotButton="0" quotePrefix="0" xfId="0"/>
    <xf numFmtId="0" fontId="22" fillId="0" borderId="0" applyAlignment="1" pivotButton="0" quotePrefix="0" xfId="0">
      <alignment wrapText="1"/>
    </xf>
    <xf numFmtId="0" fontId="23" fillId="0" borderId="0" applyAlignment="1" pivotButton="0" quotePrefix="0" xfId="0">
      <alignment wrapText="1"/>
    </xf>
    <xf numFmtId="0" fontId="0" fillId="0" borderId="0" applyAlignment="1" pivotButton="0" quotePrefix="0" xfId="0">
      <alignment wrapText="1"/>
    </xf>
    <xf numFmtId="0" fontId="18" fillId="9" borderId="0" applyAlignment="1" pivotButton="0" quotePrefix="0" xfId="0">
      <alignment wrapText="1"/>
    </xf>
    <xf numFmtId="0" fontId="20" fillId="9" borderId="0" pivotButton="0" quotePrefix="1" xfId="0"/>
    <xf numFmtId="0" fontId="0" fillId="10" borderId="0" applyAlignment="1" pivotButton="0" quotePrefix="0" xfId="0">
      <alignment wrapText="1"/>
    </xf>
    <xf numFmtId="0" fontId="18" fillId="10" borderId="0" applyAlignment="1" pivotButton="0" quotePrefix="0" xfId="0">
      <alignment wrapText="1"/>
    </xf>
    <xf numFmtId="0" fontId="20" fillId="10" borderId="0" pivotButton="0" quotePrefix="1" xfId="0"/>
    <xf numFmtId="0" fontId="19" fillId="10" borderId="0" applyAlignment="1" pivotButton="0" quotePrefix="0" xfId="0">
      <alignment wrapText="1"/>
    </xf>
    <xf numFmtId="0" fontId="18" fillId="10" borderId="0" applyAlignment="1" pivotButton="0" quotePrefix="1" xfId="0">
      <alignment wrapText="1"/>
    </xf>
    <xf numFmtId="0" fontId="0" fillId="9" borderId="0" applyAlignment="1" pivotButton="0" quotePrefix="0" xfId="0">
      <alignment wrapText="1"/>
    </xf>
    <xf numFmtId="49" fontId="17" fillId="0" borderId="0" pivotButton="0" quotePrefix="0" xfId="0"/>
    <xf numFmtId="49" fontId="6" fillId="10" borderId="0" pivotButton="0" quotePrefix="0" xfId="1"/>
    <xf numFmtId="49" fontId="6" fillId="0" borderId="0" pivotButton="0" quotePrefix="0" xfId="1"/>
    <xf numFmtId="49" fontId="6" fillId="9" borderId="0" pivotButton="0" quotePrefix="0" xfId="1"/>
    <xf numFmtId="0" fontId="0" fillId="12" borderId="0" pivotButton="0" quotePrefix="0" xfId="0"/>
    <xf numFmtId="49" fontId="0" fillId="12" borderId="0" pivotButton="0" quotePrefix="0" xfId="0"/>
    <xf numFmtId="0" fontId="19" fillId="12" borderId="0" applyAlignment="1" pivotButton="0" quotePrefix="0" xfId="0">
      <alignment wrapText="1"/>
    </xf>
    <xf numFmtId="0" fontId="18" fillId="12" borderId="0" applyAlignment="1" pivotButton="0" quotePrefix="0" xfId="0">
      <alignment wrapText="1"/>
    </xf>
    <xf numFmtId="0" fontId="18" fillId="12" borderId="0" applyAlignment="1" pivotButton="0" quotePrefix="1" xfId="0">
      <alignment wrapText="1"/>
    </xf>
    <xf numFmtId="49" fontId="6" fillId="12" borderId="0" pivotButton="0" quotePrefix="0" xfId="1"/>
    <xf numFmtId="0" fontId="6" fillId="12" borderId="0" pivotButton="0" quotePrefix="0" xfId="1"/>
    <xf numFmtId="0" fontId="23" fillId="12" borderId="0" applyAlignment="1" pivotButton="0" quotePrefix="0" xfId="0">
      <alignment wrapText="1"/>
    </xf>
    <xf numFmtId="0" fontId="0" fillId="10" borderId="0" pivotButton="0" quotePrefix="0" xfId="0"/>
    <xf numFmtId="49" fontId="0" fillId="10" borderId="0" pivotButton="0" quotePrefix="0" xfId="0"/>
    <xf numFmtId="0" fontId="0" fillId="13" borderId="0" pivotButton="0" quotePrefix="0" xfId="0"/>
    <xf numFmtId="49" fontId="0" fillId="13" borderId="0" pivotButton="0" quotePrefix="0" xfId="0"/>
    <xf numFmtId="0" fontId="19" fillId="13" borderId="0" applyAlignment="1" pivotButton="0" quotePrefix="0" xfId="0">
      <alignment wrapText="1"/>
    </xf>
    <xf numFmtId="0" fontId="18" fillId="13" borderId="0" applyAlignment="1" pivotButton="0" quotePrefix="0" xfId="0">
      <alignment wrapText="1"/>
    </xf>
    <xf numFmtId="0" fontId="18" fillId="13" borderId="0" applyAlignment="1" pivotButton="0" quotePrefix="1" xfId="0">
      <alignment wrapText="1"/>
    </xf>
    <xf numFmtId="49" fontId="6" fillId="13" borderId="0" pivotButton="0" quotePrefix="0" xfId="1"/>
    <xf numFmtId="0" fontId="6" fillId="13" borderId="0" pivotButton="0" quotePrefix="0" xfId="1"/>
    <xf numFmtId="0" fontId="18" fillId="13" borderId="0" pivotButton="0" quotePrefix="0" xfId="0"/>
    <xf numFmtId="0" fontId="0" fillId="13" borderId="0" applyAlignment="1" pivotButton="0" quotePrefix="0" xfId="0">
      <alignment wrapText="1"/>
    </xf>
    <xf numFmtId="0" fontId="20" fillId="13" borderId="0" pivotButton="0" quotePrefix="1" xfId="0"/>
    <xf numFmtId="0" fontId="23" fillId="13" borderId="0" applyAlignment="1" pivotButton="0" quotePrefix="0" xfId="0">
      <alignment wrapText="1"/>
    </xf>
    <xf numFmtId="0" fontId="20" fillId="0" borderId="10" applyAlignment="1" pivotButton="0" quotePrefix="0" xfId="0">
      <alignment wrapText="1"/>
    </xf>
    <xf numFmtId="0" fontId="20" fillId="0" borderId="10" pivotButton="0" quotePrefix="0" xfId="0"/>
    <xf numFmtId="0" fontId="20" fillId="0" borderId="10" pivotButton="0" quotePrefix="1" xfId="0"/>
    <xf numFmtId="49" fontId="20" fillId="0" borderId="10" pivotButton="0" quotePrefix="0" xfId="0"/>
    <xf numFmtId="0" fontId="0" fillId="0" borderId="10" pivotButton="0" quotePrefix="0" xfId="0"/>
    <xf numFmtId="49" fontId="0" fillId="0" borderId="10" pivotButton="0" quotePrefix="0" xfId="0"/>
    <xf numFmtId="0" fontId="24" fillId="14" borderId="0" pivotButton="0" quotePrefix="0" xfId="0"/>
    <xf numFmtId="49" fontId="24" fillId="14" borderId="0" pivotButton="0" quotePrefix="0" xfId="0"/>
    <xf numFmtId="0" fontId="0" fillId="15" borderId="0" pivotButton="0" quotePrefix="0" xfId="0"/>
    <xf numFmtId="49" fontId="0" fillId="15" borderId="0" pivotButton="0" quotePrefix="0" xfId="0"/>
    <xf numFmtId="0" fontId="6" fillId="15" borderId="0" pivotButton="0" quotePrefix="0" xfId="1"/>
    <xf numFmtId="49" fontId="6" fillId="15" borderId="0" pivotButton="0" quotePrefix="0" xfId="1"/>
    <xf numFmtId="0" fontId="0" fillId="16" borderId="0" pivotButton="0" quotePrefix="0" xfId="0"/>
    <xf numFmtId="0" fontId="25" fillId="0" borderId="1" applyAlignment="1" pivotButton="0" quotePrefix="0" xfId="0">
      <alignment horizontal="center" vertical="top"/>
    </xf>
    <xf numFmtId="0" fontId="26" fillId="0" borderId="0" pivotButton="0" quotePrefix="0" xfId="0"/>
    <xf numFmtId="0" fontId="27" fillId="0" borderId="0" pivotButton="0" quotePrefix="0" xfId="1"/>
    <xf numFmtId="0" fontId="28" fillId="17" borderId="0" pivotButton="0" quotePrefix="0" xfId="0"/>
    <xf numFmtId="0" fontId="29" fillId="17" borderId="0" pivotButton="0" quotePrefix="0" xfId="1"/>
    <xf numFmtId="0" fontId="30" fillId="17" borderId="0" pivotButton="0" quotePrefix="0" xfId="1"/>
    <xf numFmtId="0" fontId="28" fillId="18" borderId="0" pivotButton="0" quotePrefix="0" xfId="0"/>
    <xf numFmtId="0" fontId="29" fillId="18" borderId="0" pivotButton="0" quotePrefix="0" xfId="1"/>
    <xf numFmtId="0" fontId="30" fillId="18" borderId="0" pivotButton="0" quotePrefix="0" xfId="1"/>
    <xf numFmtId="0" fontId="3" fillId="2" borderId="2" applyAlignment="1" pivotButton="0" quotePrefix="0" xfId="0">
      <alignment horizontal="center" wrapText="1"/>
    </xf>
    <xf numFmtId="0" fontId="3" fillId="2" borderId="3" applyAlignment="1" pivotButton="0" quotePrefix="0" xfId="0">
      <alignment horizontal="center" wrapText="1"/>
    </xf>
    <xf numFmtId="1" fontId="12" fillId="0" borderId="6" applyAlignment="1" pivotButton="0" quotePrefix="0" xfId="2">
      <alignment horizontal="center" vertical="top" shrinkToFit="1"/>
    </xf>
    <xf numFmtId="1" fontId="12" fillId="0" borderId="8" applyAlignment="1" pivotButton="0" quotePrefix="0" xfId="2">
      <alignment horizontal="center" vertical="top" shrinkToFit="1"/>
    </xf>
    <xf numFmtId="1" fontId="12" fillId="0" borderId="7" applyAlignment="1" pivotButton="0" quotePrefix="0" xfId="2">
      <alignment horizontal="center" vertical="top" shrinkToFit="1"/>
    </xf>
    <xf numFmtId="0" fontId="13" fillId="0" borderId="6" applyAlignment="1" pivotButton="0" quotePrefix="0" xfId="2">
      <alignment horizontal="left" vertical="top" wrapText="1" indent="6"/>
    </xf>
    <xf numFmtId="0" fontId="13" fillId="0" borderId="8" applyAlignment="1" pivotButton="0" quotePrefix="0" xfId="2">
      <alignment horizontal="left" vertical="top" wrapText="1" indent="6"/>
    </xf>
    <xf numFmtId="0" fontId="13" fillId="0" borderId="7" applyAlignment="1" pivotButton="0" quotePrefix="0" xfId="2">
      <alignment horizontal="left" vertical="top" wrapText="1" indent="6"/>
    </xf>
    <xf numFmtId="1" fontId="12" fillId="3" borderId="6" applyAlignment="1" pivotButton="0" quotePrefix="0" xfId="2">
      <alignment horizontal="left" vertical="top" shrinkToFit="1" indent="1"/>
    </xf>
    <xf numFmtId="1" fontId="12" fillId="3" borderId="8" applyAlignment="1" pivotButton="0" quotePrefix="0" xfId="2">
      <alignment horizontal="left" vertical="top" shrinkToFit="1" indent="1"/>
    </xf>
    <xf numFmtId="1" fontId="12" fillId="3" borderId="7" applyAlignment="1" pivotButton="0" quotePrefix="0" xfId="2">
      <alignment horizontal="left" vertical="top" shrinkToFit="1" indent="1"/>
    </xf>
    <xf numFmtId="1" fontId="12" fillId="3" borderId="6" applyAlignment="1" pivotButton="0" quotePrefix="0" xfId="2">
      <alignment horizontal="center" vertical="top" shrinkToFit="1"/>
    </xf>
    <xf numFmtId="1" fontId="12" fillId="3" borderId="8" applyAlignment="1" pivotButton="0" quotePrefix="0" xfId="2">
      <alignment horizontal="center" vertical="top" shrinkToFit="1"/>
    </xf>
    <xf numFmtId="1" fontId="12" fillId="3" borderId="7" applyAlignment="1" pivotButton="0" quotePrefix="0" xfId="2">
      <alignment horizontal="center" vertical="top" shrinkToFit="1"/>
    </xf>
    <xf numFmtId="0" fontId="13" fillId="3" borderId="6" applyAlignment="1" pivotButton="0" quotePrefix="0" xfId="2">
      <alignment horizontal="left" vertical="top" wrapText="1" indent="7"/>
    </xf>
    <xf numFmtId="0" fontId="13" fillId="3" borderId="8" applyAlignment="1" pivotButton="0" quotePrefix="0" xfId="2">
      <alignment horizontal="left" vertical="top" wrapText="1" indent="7"/>
    </xf>
    <xf numFmtId="0" fontId="13" fillId="3" borderId="7" applyAlignment="1" pivotButton="0" quotePrefix="0" xfId="2">
      <alignment horizontal="left" vertical="top" wrapText="1" indent="7"/>
    </xf>
    <xf numFmtId="1" fontId="12" fillId="0" borderId="6" applyAlignment="1" pivotButton="0" quotePrefix="0" xfId="2">
      <alignment horizontal="left" vertical="top" shrinkToFit="1" indent="1"/>
    </xf>
    <xf numFmtId="1" fontId="12" fillId="0" borderId="7" applyAlignment="1" pivotButton="0" quotePrefix="0" xfId="2">
      <alignment horizontal="left" vertical="top" shrinkToFit="1" indent="1"/>
    </xf>
    <xf numFmtId="0" fontId="13" fillId="3" borderId="6" applyAlignment="1" pivotButton="0" quotePrefix="0" xfId="2">
      <alignment horizontal="left" vertical="top" wrapText="1" indent="1"/>
    </xf>
    <xf numFmtId="0" fontId="13" fillId="3" borderId="8" applyAlignment="1" pivotButton="0" quotePrefix="0" xfId="2">
      <alignment horizontal="left" vertical="top" wrapText="1" indent="1"/>
    </xf>
    <xf numFmtId="0" fontId="13" fillId="3" borderId="7" applyAlignment="1" pivotButton="0" quotePrefix="0" xfId="2">
      <alignment horizontal="left" vertical="top" wrapText="1" indent="1"/>
    </xf>
    <xf numFmtId="0" fontId="13" fillId="3" borderId="6" applyAlignment="1" pivotButton="0" quotePrefix="0" xfId="2">
      <alignment horizontal="left" vertical="top" wrapText="1" indent="6"/>
    </xf>
    <xf numFmtId="0" fontId="13" fillId="3" borderId="7" applyAlignment="1" pivotButton="0" quotePrefix="0" xfId="2">
      <alignment horizontal="left" vertical="top" wrapText="1" indent="6"/>
    </xf>
    <xf numFmtId="0" fontId="8" fillId="3" borderId="6" applyAlignment="1" pivotButton="0" quotePrefix="0" xfId="2">
      <alignment horizontal="left" vertical="top" wrapText="1"/>
    </xf>
    <xf numFmtId="0" fontId="8" fillId="3" borderId="8" applyAlignment="1" pivotButton="0" quotePrefix="0" xfId="2">
      <alignment horizontal="left" vertical="top" wrapText="1"/>
    </xf>
    <xf numFmtId="0" fontId="13" fillId="3" borderId="8" applyAlignment="1" pivotButton="0" quotePrefix="0" xfId="2">
      <alignment horizontal="left" vertical="top" wrapText="1" indent="5"/>
    </xf>
    <xf numFmtId="0" fontId="13" fillId="3" borderId="7" applyAlignment="1" pivotButton="0" quotePrefix="0" xfId="2">
      <alignment horizontal="left" vertical="top" wrapText="1" indent="5"/>
    </xf>
    <xf numFmtId="0" fontId="13" fillId="3" borderId="6" applyAlignment="1" pivotButton="0" quotePrefix="0" xfId="2">
      <alignment horizontal="left" vertical="top" wrapText="1" indent="4"/>
    </xf>
    <xf numFmtId="0" fontId="13" fillId="3" borderId="8" applyAlignment="1" pivotButton="0" quotePrefix="0" xfId="2">
      <alignment horizontal="left" vertical="top" wrapText="1" indent="4"/>
    </xf>
    <xf numFmtId="0" fontId="13" fillId="3" borderId="7" applyAlignment="1" pivotButton="0" quotePrefix="0" xfId="2">
      <alignment horizontal="left" vertical="top" wrapText="1" indent="4"/>
    </xf>
    <xf numFmtId="0" fontId="9" fillId="0" borderId="4" applyAlignment="1" pivotButton="0" quotePrefix="0" xfId="2">
      <alignment horizontal="center" vertical="top" wrapText="1"/>
    </xf>
    <xf numFmtId="1" fontId="12" fillId="0" borderId="6" applyAlignment="1" pivotButton="0" quotePrefix="0" xfId="2">
      <alignment horizontal="left" vertical="center" shrinkToFit="1" indent="1"/>
    </xf>
    <xf numFmtId="1" fontId="12" fillId="0" borderId="6" applyAlignment="1" pivotButton="0" quotePrefix="0" xfId="2">
      <alignment horizontal="center" vertical="center" shrinkToFit="1"/>
    </xf>
    <xf numFmtId="0" fontId="13" fillId="0" borderId="6" applyAlignment="1" pivotButton="0" quotePrefix="0" xfId="2">
      <alignment horizontal="left" vertical="center" wrapText="1" indent="7"/>
    </xf>
    <xf numFmtId="0" fontId="13" fillId="0" borderId="6" applyAlignment="1" pivotButton="0" quotePrefix="0" xfId="2">
      <alignment horizontal="left" vertical="center" wrapText="1" indent="1"/>
    </xf>
    <xf numFmtId="0" fontId="0" fillId="11" borderId="0" applyAlignment="1" pivotButton="0" quotePrefix="0" xfId="0">
      <alignment horizontal="center" vertical="center"/>
    </xf>
    <xf numFmtId="0" fontId="0" fillId="11" borderId="10" applyAlignment="1" pivotButton="0" quotePrefix="0" xfId="0">
      <alignment horizontal="center" vertical="center"/>
    </xf>
    <xf numFmtId="0" fontId="26" fillId="13" borderId="0" pivotButton="0" quotePrefix="0" xfId="0"/>
    <xf numFmtId="0" fontId="27" fillId="13" borderId="0" pivotButton="0" quotePrefix="0" xfId="1"/>
    <xf numFmtId="0" fontId="3" fillId="2" borderId="1" applyAlignment="1" pivotButton="0" quotePrefix="0" xfId="0">
      <alignment horizontal="center" wrapText="1"/>
    </xf>
    <xf numFmtId="0" fontId="0" fillId="0" borderId="3" pivotButton="0" quotePrefix="0" xfId="0"/>
    <xf numFmtId="0" fontId="31" fillId="0" borderId="14" applyAlignment="1" pivotButton="0" quotePrefix="0" xfId="0">
      <alignment horizontal="center" vertical="top"/>
    </xf>
    <xf numFmtId="165" fontId="0" fillId="0" borderId="0" pivotButton="0" quotePrefix="0" xfId="0"/>
    <xf numFmtId="0" fontId="0" fillId="0" borderId="4" pivotButton="0" quotePrefix="0" xfId="0"/>
    <xf numFmtId="0" fontId="0" fillId="0" borderId="8" pivotButton="0" quotePrefix="0" xfId="0"/>
    <xf numFmtId="0" fontId="0" fillId="0" borderId="7" pivotButton="0" quotePrefix="0" xfId="0"/>
    <xf numFmtId="1" fontId="12" fillId="3" borderId="5" applyAlignment="1" pivotButton="0" quotePrefix="0" xfId="2">
      <alignment horizontal="left" vertical="top" shrinkToFit="1" indent="1"/>
    </xf>
    <xf numFmtId="0" fontId="13" fillId="3" borderId="5" applyAlignment="1" pivotButton="0" quotePrefix="0" xfId="2">
      <alignment horizontal="left" vertical="top" wrapText="1" indent="1"/>
    </xf>
    <xf numFmtId="0" fontId="13" fillId="3" borderId="5" applyAlignment="1" pivotButton="0" quotePrefix="0" xfId="2">
      <alignment horizontal="left" vertical="top" wrapText="1" indent="6"/>
    </xf>
    <xf numFmtId="0" fontId="13" fillId="3" borderId="5" applyAlignment="1" pivotButton="0" quotePrefix="0" xfId="2">
      <alignment horizontal="left" vertical="top" wrapText="1" indent="7"/>
    </xf>
    <xf numFmtId="1" fontId="12" fillId="0" borderId="5" applyAlignment="1" pivotButton="0" quotePrefix="0" xfId="2">
      <alignment horizontal="left" vertical="top" shrinkToFit="1" indent="1"/>
    </xf>
    <xf numFmtId="165" fontId="0" fillId="0" borderId="0" pivotButton="0" quotePrefix="0" xfId="0"/>
  </cellXfs>
  <cellStyles count="3">
    <cellStyle name="Normal" xfId="0" builtinId="0"/>
    <cellStyle name="Hyperlink" xfId="1" builtinId="8"/>
    <cellStyle name="Normal 2" xfId="2"/>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0</rowOff>
    </from>
    <to>
      <col>12</col>
      <colOff>153280</colOff>
      <row>26</row>
      <rowOff>24192</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8200000" cy="4580952"/>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Lightstone">
  <a:themeElements>
    <a:clrScheme name="Lightstone">
      <a:dk1>
        <a:sysClr val="windowText" lastClr="000000"/>
      </a:dk1>
      <a:lt1>
        <a:sysClr val="window" lastClr="FFFFFF"/>
      </a:lt1>
      <a:dk2>
        <a:srgbClr val="002D72"/>
      </a:dk2>
      <a:lt2>
        <a:srgbClr val="D1D3D4"/>
      </a:lt2>
      <a:accent1>
        <a:srgbClr val="1451A8"/>
      </a:accent1>
      <a:accent2>
        <a:srgbClr val="5095D0"/>
      </a:accent2>
      <a:accent3>
        <a:srgbClr val="DA291C"/>
      </a:accent3>
      <a:accent4>
        <a:srgbClr val="F2CD00"/>
      </a:accent4>
      <a:accent5>
        <a:srgbClr val="658D1B"/>
      </a:accent5>
      <a:accent6>
        <a:srgbClr val="A7A9AC"/>
      </a:accent6>
      <a:hlink>
        <a:srgbClr val="00AECC"/>
      </a:hlink>
      <a:folHlink>
        <a:srgbClr val="0D1C42"/>
      </a:folHlink>
    </a:clrScheme>
    <a:fontScheme name="Lightstone">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extLst>
    <a:ext uri="{05A4C25C-085E-4340-85A3-A5531E510DB2}">
      <thm15:themeFamily xmlns:thm15="http://schemas.microsoft.com/office/thememl/2012/main" name="Lightstone" id="{D54F006B-09AF-4F86-B325-6753BB0F69C9}" vid="{AEB875DA-EBF1-4355-A9B2-1027C8EB9FC5}"/>
    </a:ext>
  </a:extLst>
</a:theme>
</file>

<file path=xl/worksheets/_rels/sheet5.xml.rels><Relationships xmlns="http://schemas.openxmlformats.org/package/2006/relationships"><Relationship Type="http://schemas.openxmlformats.org/officeDocument/2006/relationships/hyperlink" Target="mailto:carlyr@infinitiaviation.co.za" TargetMode="External" Id="rId1"/><Relationship Type="http://schemas.openxmlformats.org/officeDocument/2006/relationships/hyperlink" Target="mailto:belindah@infinitiafrica.com" TargetMode="External" Id="rId2"/><Relationship Type="http://schemas.openxmlformats.org/officeDocument/2006/relationships/hyperlink" Target="mailto:WillieJ@itoo.co.za" TargetMode="External" Id="rId3"/><Relationship Type="http://schemas.openxmlformats.org/officeDocument/2006/relationships/hyperlink" Target="mailto:WarwickG@itoo.co.za" TargetMode="External" Id="rId4"/><Relationship Type="http://schemas.openxmlformats.org/officeDocument/2006/relationships/hyperlink" Target="mailto:JonathanH@Itoo.co.za" TargetMode="External" Id="rId5"/><Relationship Type="http://schemas.openxmlformats.org/officeDocument/2006/relationships/hyperlink" Target="mailto:info@orsmondaviation.co.za" TargetMode="External" Id="rId6"/><Relationship Type="http://schemas.openxmlformats.org/officeDocument/2006/relationships/hyperlink" Target="mailto:info@flymcc.co.za" TargetMode="External" Id="rId7"/><Relationship Type="http://schemas.openxmlformats.org/officeDocument/2006/relationships/hyperlink" Target="mailto:mike.goodwin@flymcc.co.za" TargetMode="External" Id="rId8"/><Relationship Type="http://schemas.openxmlformats.org/officeDocument/2006/relationships/hyperlink" Target="mailto:info@capitalairsa.com" TargetMode="External" Id="rId9"/><Relationship Type="http://schemas.openxmlformats.org/officeDocument/2006/relationships/hyperlink" Target="mailto:sean.murphy@flymcc.co.za" TargetMode="External" Id="rId10"/><Relationship Type="http://schemas.openxmlformats.org/officeDocument/2006/relationships/hyperlink" Target="mailto:ashley.spolander@nac.co.za" TargetMode="External" Id="rId11"/><Relationship Type="http://schemas.openxmlformats.org/officeDocument/2006/relationships/hyperlink" Target="mailto:charles.phahlane@sanparks.org" TargetMode="External" Id="rId12"/><Relationship Type="http://schemas.openxmlformats.org/officeDocument/2006/relationships/hyperlink" Target="mailto:paul@emperoraviation.co.za" TargetMode="External" Id="rId13"/><Relationship Type="http://schemas.openxmlformats.org/officeDocument/2006/relationships/hyperlink" Target="mailto:riks@pasaviation.co.za" TargetMode="External" Id="rId14"/><Relationship Type="http://schemas.openxmlformats.org/officeDocument/2006/relationships/hyperlink" Target="mailto:tthompson@bacheli.com" TargetMode="External" Id="rId15"/><Relationship Type="http://schemas.openxmlformats.org/officeDocument/2006/relationships/hyperlink" Target="mailto:operations@flyladylori.com" TargetMode="External" Id="rId16"/><Relationship Type="http://schemas.openxmlformats.org/officeDocument/2006/relationships/hyperlink" Target="mailto:stanley@ferreiraaviation.co.za" TargetMode="External" Id="rId17"/><Relationship Type="http://schemas.openxmlformats.org/officeDocument/2006/relationships/hyperlink" Target="mailto:wyndham@ferreiraaviation.co.za" TargetMode="External" Id="rId18"/><Relationship Type="http://schemas.openxmlformats.org/officeDocument/2006/relationships/hyperlink" Target="mailto:jp@ferreiraaviation.co.za" TargetMode="External" Id="rId19"/><Relationship Type="http://schemas.openxmlformats.org/officeDocument/2006/relationships/hyperlink" Target="mailto:twillows@mweb.co.za" TargetMode="External" Id="rId20"/><Relationship Type="http://schemas.openxmlformats.org/officeDocument/2006/relationships/hyperlink" Target="mailto:jvincent@vodamail.co.za" TargetMode="External" Id="rId21"/><Relationship Type="http://schemas.openxmlformats.org/officeDocument/2006/relationships/hyperlink" Target="mailto:ns@aminternational.co.za" TargetMode="External" Id="rId22"/><Relationship Type="http://schemas.openxmlformats.org/officeDocument/2006/relationships/hyperlink" Target="mailto:wb@aminternational.co.za" TargetMode="External" Id="rId23"/><Relationship Type="http://schemas.openxmlformats.org/officeDocument/2006/relationships/hyperlink" Target="mailto:gm@aminternational.co.za" TargetMode="External" Id="rId24"/><Relationship Type="http://schemas.openxmlformats.org/officeDocument/2006/relationships/hyperlink" Target="mailto:james.godden@santam.co.za" TargetMode="External" Id="rId25"/><Relationship Type="http://schemas.openxmlformats.org/officeDocument/2006/relationships/hyperlink" Target="mailto:shirlene.frylinck@santam.co.za" TargetMode="External" Id="rId26"/><Relationship Type="http://schemas.openxmlformats.org/officeDocument/2006/relationships/hyperlink" Target="mailto:cleme.brown@santam.co.za" TargetMode="External" Id="rId27"/><Relationship Type="http://schemas.openxmlformats.org/officeDocument/2006/relationships/hyperlink" Target="mailto:reon@vektoraviation.co.za" TargetMode="External" Id="rId28"/><Relationship Type="http://schemas.openxmlformats.org/officeDocument/2006/relationships/hyperlink" Target="mailto:kim@vektoraviation.co.za" TargetMode="External" Id="rId29"/><Relationship Type="http://schemas.openxmlformats.org/officeDocument/2006/relationships/hyperlink" Target="mailto:leandra@vektoraviation.co.za" TargetMode="External" Id="rId30"/><Relationship Type="http://schemas.openxmlformats.org/officeDocument/2006/relationships/hyperlink" Target="mailto:info@greystones.co.za" TargetMode="External" Id="rId31"/><Relationship Type="http://schemas.openxmlformats.org/officeDocument/2006/relationships/hyperlink" Target="mailto:nam-binh.hoang@airbus.com" TargetMode="External" Id="rId32"/><Relationship Type="http://schemas.openxmlformats.org/officeDocument/2006/relationships/hyperlink" Target="mailto:hdm@hoverdynamics.co.za&#160;" TargetMode="External" Id="rId33"/><Relationship Type="http://schemas.openxmlformats.org/officeDocument/2006/relationships/hyperlink" Target="mailto:accounts@helifix.co.za" TargetMode="External" Id="rId34"/><Relationship Type="http://schemas.openxmlformats.org/officeDocument/2006/relationships/hyperlink" Target="mailto:office@leaviation.co.za" TargetMode="External" Id="rId35"/><Relationship Type="http://schemas.openxmlformats.org/officeDocument/2006/relationships/hyperlink" Target="mailto:marketing@denelaviation.co.za" TargetMode="External" Id="rId36"/><Relationship Type="http://schemas.openxmlformats.org/officeDocument/2006/relationships/hyperlink" Target="mailto:info@henleyair.co.za" TargetMode="External" Id="rId37"/><Relationship Type="http://schemas.openxmlformats.org/officeDocument/2006/relationships/hyperlink" Target="mailto:catherine.kruse@nrgex.co.za" TargetMode="External" Id="rId38"/><Relationship Type="http://schemas.openxmlformats.org/officeDocument/2006/relationships/hyperlink" Target="mailto:ockerts@starliteaviation.com" TargetMode="External" Id="rId39"/><Relationship Type="http://schemas.openxmlformats.org/officeDocument/2006/relationships/hyperlink" Target="mailto:trioavi@netactive.co.za" TargetMode="External" Id="rId40"/><Relationship Type="http://schemas.openxmlformats.org/officeDocument/2006/relationships/hyperlink" Target="mailto:admin@acheraviation.com" TargetMode="External" Id="rId41"/><Relationship Type="http://schemas.openxmlformats.org/officeDocument/2006/relationships/hyperlink" Target="mailto:info@breytech.co.za" TargetMode="External" Id="rId42"/><Relationship Type="http://schemas.openxmlformats.org/officeDocument/2006/relationships/hyperlink" Target="mailto:info@paramountgroup.biz" TargetMode="External" Id="rId43"/><Relationship Type="http://schemas.openxmlformats.org/officeDocument/2006/relationships/hyperlink" Target="mailto:enquiries@starliteaviation.com" TargetMode="External" Id="rId44"/><Relationship Type="http://schemas.openxmlformats.org/officeDocument/2006/relationships/hyperlink" Target="mailto:reception@hoverdynamics.co.za" TargetMode="External" Id="rId45"/><Relationship Type="http://schemas.openxmlformats.org/officeDocument/2006/relationships/hyperlink" Target="mailto:mathopaT@saps.gov.za" TargetMode="External" Id="rId46"/><Relationship Type="http://schemas.openxmlformats.org/officeDocument/2006/relationships/hyperlink" Target="mailto:amo@kishugu.com" TargetMode="External" Id="rId47"/><Relationship Type="http://schemas.openxmlformats.org/officeDocument/2006/relationships/hyperlink" Target="mailto:eddiep@superiorair.co.za" TargetMode="External" Id="rId48"/></Relationships>
</file>

<file path=xl/worksheets/_rels/sheet10.xml.rels><Relationships xmlns="http://schemas.openxmlformats.org/package/2006/relationships"><Relationship Type="http://schemas.openxmlformats.org/officeDocument/2006/relationships/drawing" Target="/xl/drawings/drawing1.xml" Id="rId1"/></Relationships>
</file>

<file path=xl/worksheets/_rels/sheet12.xml.rels><Relationships xmlns="http://schemas.openxmlformats.org/package/2006/relationships"><Relationship Type="http://schemas.openxmlformats.org/officeDocument/2006/relationships/hyperlink" Target="mailto:info@flylfc.com" TargetMode="External" Id="rId1"/><Relationship Type="http://schemas.openxmlformats.org/officeDocument/2006/relationships/hyperlink" Target="mailto:info@aeronav.co.za" TargetMode="External" Id="rId2"/><Relationship Type="http://schemas.openxmlformats.org/officeDocument/2006/relationships/hyperlink" Target="mailto:info@skyhawk.co.za" TargetMode="External" Id="rId3"/><Relationship Type="http://schemas.openxmlformats.org/officeDocument/2006/relationships/hyperlink" Target="mailto:marketing@bluechip-avia.co.za" TargetMode="External" Id="rId4"/><Relationship Type="http://schemas.openxmlformats.org/officeDocument/2006/relationships/hyperlink" Target="mailto:info@eagleair.co.za" TargetMode="External" Id="rId5"/><Relationship Type="http://schemas.openxmlformats.org/officeDocument/2006/relationships/hyperlink" Target="mailto:info@superiorair.co.za" TargetMode="External" Id="rId6"/><Relationship Type="http://schemas.openxmlformats.org/officeDocument/2006/relationships/hyperlink" Target="mailto:fly@fts.co.za" TargetMode="External" Id="rId7"/><Relationship Type="http://schemas.openxmlformats.org/officeDocument/2006/relationships/hyperlink" Target="mailto:info@cfasa.co.za" TargetMode="External" Id="rId8"/><Relationship Type="http://schemas.openxmlformats.org/officeDocument/2006/relationships/hyperlink" Target="mailto:info@jsf.co.za" TargetMode="External" Id="rId9"/><Relationship Type="http://schemas.openxmlformats.org/officeDocument/2006/relationships/hyperlink" Target="mailto:info@uflyacademy.co.za" TargetMode="External" Id="rId10"/><Relationship Type="http://schemas.openxmlformats.org/officeDocument/2006/relationships/hyperlink" Target="mailto:info@eagle1.co.za" TargetMode="External" Id="rId11"/><Relationship Type="http://schemas.openxmlformats.org/officeDocument/2006/relationships/hyperlink" Target="mailto:info@airborneaviation.co.za" TargetMode="External" Id="rId12"/><Relationship Type="http://schemas.openxmlformats.org/officeDocument/2006/relationships/hyperlink" Target="mailto:info@jhbflying.co.za" TargetMode="External" Id="rId13"/><Relationship Type="http://schemas.openxmlformats.org/officeDocument/2006/relationships/hyperlink" Target="mailto:info@sqasa.co.za" TargetMode="External" Id="rId14"/><Relationship Type="http://schemas.openxmlformats.org/officeDocument/2006/relationships/hyperlink" Target="mailto:info@mach1aviation.co.za" TargetMode="External" Id="rId15"/><Relationship Type="http://schemas.openxmlformats.org/officeDocument/2006/relationships/hyperlink" Target="mailto:info@aviatechfaps.co.za" TargetMode="External" Id="rId16"/><Relationship Type="http://schemas.openxmlformats.org/officeDocument/2006/relationships/hyperlink" Target="mailto:apexacademy@bucephalus-air.co.za" TargetMode="External" Id="rId17"/><Relationship Type="http://schemas.openxmlformats.org/officeDocument/2006/relationships/hyperlink" Target="mailto:info@bluebirdaerospace.com" TargetMode="External" Id="rId18"/><Relationship Type="http://schemas.openxmlformats.org/officeDocument/2006/relationships/hyperlink" Target="mailto:info@helivate.com" TargetMode="External" Id="rId19"/><Relationship Type="http://schemas.openxmlformats.org/officeDocument/2006/relationships/hyperlink" Target="mailto:paul@helivate.com" TargetMode="External" Id="rId20"/><Relationship Type="http://schemas.openxmlformats.org/officeDocument/2006/relationships/hyperlink" Target="mailto:paul@statusmark.co.za" TargetMode="External" Id="rId21"/><Relationship Type="http://schemas.openxmlformats.org/officeDocument/2006/relationships/hyperlink" Target="mailto:hdm@hoverdynamics.co.za" TargetMode="External" Id="rId22"/><Relationship Type="http://schemas.openxmlformats.org/officeDocument/2006/relationships/hyperlink" Target="mailto:ame@hoverdynamics.co.za" TargetMode="External" Id="rId23"/><Relationship Type="http://schemas.openxmlformats.org/officeDocument/2006/relationships/hyperlink" Target="mailto:dean@hoverdynamics.co.za" TargetMode="External" Id="rId24"/><Relationship Type="http://schemas.openxmlformats.org/officeDocument/2006/relationships/hyperlink" Target="mailto:info@learn2fly.co.za" TargetMode="External" Id="rId25"/><Relationship Type="http://schemas.openxmlformats.org/officeDocument/2006/relationships/hyperlink" Target="mailto:pfc1161@gmail.com" TargetMode="External" Id="rId26"/><Relationship Type="http://schemas.openxmlformats.org/officeDocument/2006/relationships/hyperlink" Target="mailto:info@flyfofa.co.za" TargetMode="External" Id="rId27"/><Relationship Type="http://schemas.openxmlformats.org/officeDocument/2006/relationships/hyperlink" Target="mailto:fisha@flyfofa.co.za" TargetMode="External" Id="rId28"/><Relationship Type="http://schemas.openxmlformats.org/officeDocument/2006/relationships/hyperlink" Target="mailto:bfisha@flyfofa.co.za" TargetMode="External" Id="rId29"/><Relationship Type="http://schemas.openxmlformats.org/officeDocument/2006/relationships/hyperlink" Target="mailto:reception@flyfofa.co.za" TargetMode="External" Id="rId30"/><Relationship Type="http://schemas.openxmlformats.org/officeDocument/2006/relationships/hyperlink" Target="mailto:ppl@flywaa.co.za" TargetMode="External" Id="rId31"/><Relationship Type="http://schemas.openxmlformats.org/officeDocument/2006/relationships/hyperlink" Target="mailto:info@accoladeflyingwings.co.za" TargetMode="External" Id="rId32"/></Relationships>
</file>

<file path=xl/worksheets/_rels/sheet13.xml.rels><Relationships xmlns="http://schemas.openxmlformats.org/package/2006/relationships"><Relationship Type="http://schemas.openxmlformats.org/officeDocument/2006/relationships/hyperlink" Target="mailto:donald@aeronav.co.za" TargetMode="External" Id="rId1"/><Relationship Type="http://schemas.openxmlformats.org/officeDocument/2006/relationships/hyperlink" Target="mailto:donald.oconnor@aeronav.co.za" TargetMode="External" Id="rId2"/><Relationship Type="http://schemas.openxmlformats.org/officeDocument/2006/relationships/hyperlink" Target="mailto:paul@cfa.co.za" TargetMode="External" Id="rId3"/><Relationship Type="http://schemas.openxmlformats.org/officeDocument/2006/relationships/hyperlink" Target="mailto:sam@airborneaviation.co.za" TargetMode="External" Id="rId4"/><Relationship Type="http://schemas.openxmlformats.org/officeDocument/2006/relationships/hyperlink" Target="mailto:reception@flyfofa.co.za" TargetMode="External" Id="rId5"/></Relationships>
</file>

<file path=xl/worksheets/_rels/sheet14.xml.rels><Relationships xmlns="http://schemas.openxmlformats.org/package/2006/relationships"><Relationship Type="http://schemas.openxmlformats.org/officeDocument/2006/relationships/hyperlink" Target="https://www.43airschool.com/" TargetMode="External" Id="rId1"/><Relationship Type="http://schemas.openxmlformats.org/officeDocument/2006/relationships/hyperlink" Target="https://www.flightacademy.co.za/" TargetMode="External" Id="rId2"/><Relationship Type="http://schemas.openxmlformats.org/officeDocument/2006/relationships/hyperlink" Target="mailto:info@algoafc.co.za" TargetMode="External" Id="rId3"/><Relationship Type="http://schemas.openxmlformats.org/officeDocument/2006/relationships/hyperlink" Target="https://algoafc.co.za/flight-school/" TargetMode="External" Id="rId4"/><Relationship Type="http://schemas.openxmlformats.org/officeDocument/2006/relationships/hyperlink" Target="https://www.madibabayschoolofflight.co.za/" TargetMode="External" Id="rId5"/><Relationship Type="http://schemas.openxmlformats.org/officeDocument/2006/relationships/hyperlink" Target="https://www.bestaviation.net/school/aptrac_aviation/" TargetMode="External" Id="rId6"/><Relationship Type="http://schemas.openxmlformats.org/officeDocument/2006/relationships/hyperlink" Target="https://www.ptcaviation.co.za/" TargetMode="External" Id="rId7"/><Relationship Type="http://schemas.openxmlformats.org/officeDocument/2006/relationships/hyperlink" Target="https://borderaviation.co.za/" TargetMode="External" Id="rId8"/><Relationship Type="http://schemas.openxmlformats.org/officeDocument/2006/relationships/hyperlink" Target="https://flighttraining.co.za/" TargetMode="External" Id="rId9"/><Relationship Type="http://schemas.openxmlformats.org/officeDocument/2006/relationships/hyperlink" Target="https://www.starliteaviation.com/training/" TargetMode="External" Id="rId10"/><Relationship Type="http://schemas.openxmlformats.org/officeDocument/2006/relationships/hyperlink" Target="https://vfs.co.za/" TargetMode="External" Id="rId11"/><Relationship Type="http://schemas.openxmlformats.org/officeDocument/2006/relationships/hyperlink" Target="https://pmbac.co.za/flight-training/" TargetMode="External" Id="rId12"/><Relationship Type="http://schemas.openxmlformats.org/officeDocument/2006/relationships/hyperlink" Target="https://zerofourairschool.co.za/" TargetMode="External" Id="rId13"/><Relationship Type="http://schemas.openxmlformats.org/officeDocument/2006/relationships/hyperlink" Target="https://www.focusair.co.za/" TargetMode="External" Id="rId14"/><Relationship Type="http://schemas.openxmlformats.org/officeDocument/2006/relationships/hyperlink" Target="http://www.durbanaviationcentre.com/" TargetMode="External" Id="rId15"/><Relationship Type="http://schemas.openxmlformats.org/officeDocument/2006/relationships/hyperlink" Target="http://flyayre.com/" TargetMode="External" Id="rId16"/><Relationship Type="http://schemas.openxmlformats.org/officeDocument/2006/relationships/hyperlink" Target="https://mosselbayhelicopters.co.za/flightschool/" TargetMode="External" Id="rId17"/><Relationship Type="http://schemas.openxmlformats.org/officeDocument/2006/relationships/hyperlink" Target="https://www.facebook.com/westlineaviation/" TargetMode="External" Id="rId18"/><Relationship Type="http://schemas.openxmlformats.org/officeDocument/2006/relationships/hyperlink" Target="https://eagleflight.co.za/" TargetMode="External" Id="rId19"/><Relationship Type="http://schemas.openxmlformats.org/officeDocument/2006/relationships/hyperlink" Target="https://m.facebook.com/bloemflyingschool/about/" TargetMode="External" Id="rId20"/><Relationship Type="http://schemas.openxmlformats.org/officeDocument/2006/relationships/hyperlink" Target="https://www.thinklocal.co.za/biz/mid-air-charter-and-training-bloemfontein" TargetMode="External" Id="rId21"/><Relationship Type="http://schemas.openxmlformats.org/officeDocument/2006/relationships/hyperlink" Target="https://fantiniair.co.za/" TargetMode="External" Id="rId22"/><Relationship Type="http://schemas.openxmlformats.org/officeDocument/2006/relationships/hyperlink" Target="https://flyparamount.co.za/" TargetMode="External" Id="rId23"/><Relationship Type="http://schemas.openxmlformats.org/officeDocument/2006/relationships/hyperlink" Target="https://lac.co.za/" TargetMode="External" Id="rId24"/><Relationship Type="http://schemas.openxmlformats.org/officeDocument/2006/relationships/hyperlink" Target="https://klcbt.co.za/saphire-blue/" TargetMode="External" Id="rId25"/><Relationship Type="http://schemas.openxmlformats.org/officeDocument/2006/relationships/hyperlink" Target="https://kishugu.com/contact/" TargetMode="External" Id="rId26"/><Relationship Type="http://schemas.openxmlformats.org/officeDocument/2006/relationships/hyperlink" Target="https://mywings.co.za/flight-school/" TargetMode="External" Id="rId27"/><Relationship Type="http://schemas.openxmlformats.org/officeDocument/2006/relationships/hyperlink" Target="https://www.leadingedgeflight.co.za/" TargetMode="External" Id="rId28"/><Relationship Type="http://schemas.openxmlformats.org/officeDocument/2006/relationships/hyperlink" Target="https://limpopoflightschool.co.za/" TargetMode="External" Id="rId29"/><Relationship Type="http://schemas.openxmlformats.org/officeDocument/2006/relationships/hyperlink" Target="https://www.heritageaviation.co.za/" TargetMode="External" Id="rId30"/></Relationships>
</file>

<file path=xl/worksheets/sheet1.xml><?xml version="1.0" encoding="utf-8"?>
<worksheet xmlns="http://schemas.openxmlformats.org/spreadsheetml/2006/main">
  <sheetPr>
    <outlinePr summaryBelow="1" summaryRight="1"/>
    <pageSetUpPr/>
  </sheetPr>
  <dimension ref="A1:J50"/>
  <sheetViews>
    <sheetView workbookViewId="0">
      <selection activeCell="A1" sqref="A1"/>
    </sheetView>
    <sheetView workbookViewId="1">
      <selection activeCell="A1" sqref="A1"/>
    </sheetView>
  </sheetViews>
  <sheetFormatPr baseColWidth="8" defaultColWidth="8.69921875" defaultRowHeight="13.8"/>
  <cols>
    <col width="19" bestFit="1" customWidth="1" min="1" max="1"/>
    <col width="20.69921875" bestFit="1" customWidth="1" min="3" max="3"/>
    <col width="18.69921875" customWidth="1" min="5" max="5"/>
    <col width="15.69921875" bestFit="1" customWidth="1" min="7" max="7"/>
  </cols>
  <sheetData>
    <row r="1">
      <c r="A1" s="3" t="inlineStr">
        <is>
          <t>Company Categores</t>
        </is>
      </c>
      <c r="C1" s="3" t="inlineStr">
        <is>
          <t>Strat</t>
        </is>
      </c>
      <c r="E1" s="3" t="inlineStr">
        <is>
          <t>Priority</t>
        </is>
      </c>
      <c r="G1" s="3" t="inlineStr">
        <is>
          <t>Status</t>
        </is>
      </c>
      <c r="I1" s="194" t="inlineStr">
        <is>
          <t>Aviation Lookup</t>
        </is>
      </c>
      <c r="J1" s="195" t="n"/>
    </row>
    <row r="2">
      <c r="A2" s="4" t="inlineStr">
        <is>
          <t>Parts Supplier</t>
        </is>
      </c>
      <c r="C2" s="4" t="inlineStr">
        <is>
          <t>No Alignment</t>
        </is>
      </c>
      <c r="E2" s="4" t="inlineStr">
        <is>
          <t>Low</t>
        </is>
      </c>
      <c r="G2" s="4" t="inlineStr">
        <is>
          <t>Done</t>
        </is>
      </c>
      <c r="I2" t="inlineStr">
        <is>
          <t>Category</t>
        </is>
      </c>
      <c r="J2" t="inlineStr">
        <is>
          <t>Scope of Work</t>
        </is>
      </c>
    </row>
    <row r="3">
      <c r="A3" s="4" t="inlineStr">
        <is>
          <t>AMO</t>
        </is>
      </c>
      <c r="C3" s="4" t="inlineStr">
        <is>
          <t>Approved Supplier</t>
        </is>
      </c>
      <c r="E3" s="4" t="inlineStr">
        <is>
          <t>Medium</t>
        </is>
      </c>
      <c r="G3" s="4" t="inlineStr">
        <is>
          <t>Contacted - Email</t>
        </is>
      </c>
      <c r="I3" t="inlineStr">
        <is>
          <t>A</t>
        </is>
      </c>
      <c r="J3" t="inlineStr">
        <is>
          <t xml:space="preserve">Line maintenance on aircraft airframes (release to service, minor assembly, certifying install and test/ferry flights)  </t>
        </is>
      </c>
    </row>
    <row r="4">
      <c r="A4" s="4" t="inlineStr">
        <is>
          <t>AMO - Heli</t>
        </is>
      </c>
      <c r="C4" s="4" t="inlineStr">
        <is>
          <t>Client</t>
        </is>
      </c>
      <c r="E4" s="4" t="inlineStr">
        <is>
          <t>High</t>
        </is>
      </c>
      <c r="G4" s="4" t="inlineStr">
        <is>
          <t>NTC</t>
        </is>
      </c>
      <c r="I4" t="inlineStr">
        <is>
          <t>B</t>
        </is>
      </c>
      <c r="J4" t="inlineStr">
        <is>
          <t xml:space="preserve">Component-level maintenance for airframes and accessories (rotorcraft excluded from engine)  </t>
        </is>
      </c>
    </row>
    <row r="5">
      <c r="A5" s="4" t="inlineStr">
        <is>
          <t>Charter</t>
        </is>
      </c>
      <c r="C5" s="4" t="inlineStr">
        <is>
          <t>Partnership</t>
        </is>
      </c>
      <c r="E5" s="4" t="inlineStr">
        <is>
          <t>Imminent</t>
        </is>
      </c>
      <c r="G5" s="4" t="inlineStr">
        <is>
          <t>Investigate</t>
        </is>
      </c>
      <c r="I5" t="inlineStr">
        <is>
          <t>C</t>
        </is>
      </c>
      <c r="J5" t="inlineStr">
        <is>
          <t xml:space="preserve">On‑wing maintenance for engines (non‑rotorcraft), including test flight release  </t>
        </is>
      </c>
    </row>
    <row r="6">
      <c r="A6" s="4" t="inlineStr">
        <is>
          <t>Charter - Heli</t>
        </is>
      </c>
      <c r="C6" s="4" t="inlineStr">
        <is>
          <t>Convert - Serial Number</t>
        </is>
      </c>
      <c r="E6" s="4" t="n"/>
      <c r="G6" s="4" t="inlineStr">
        <is>
          <t>DNC</t>
        </is>
      </c>
      <c r="I6" t="inlineStr">
        <is>
          <t>D</t>
        </is>
      </c>
      <c r="J6" t="inlineStr">
        <is>
          <t xml:space="preserve">Rack-level engine work (overhaul, repair, modifications), plus manufacture of parts under CAR 21  </t>
        </is>
      </c>
    </row>
    <row r="7">
      <c r="A7" s="4" t="inlineStr">
        <is>
          <t>Insurance</t>
        </is>
      </c>
      <c r="C7" s="4" t="n"/>
      <c r="E7" s="4" t="n"/>
      <c r="G7" s="4" t="inlineStr">
        <is>
          <t>Closed</t>
        </is>
      </c>
      <c r="I7" t="inlineStr">
        <is>
          <t>E</t>
        </is>
      </c>
      <c r="J7" t="inlineStr">
        <is>
          <t xml:space="preserve">Rotorcraft and rotorcraft‑engine maintenance (airframe/engine installs, overhaul, rotors, test‑flight release)  </t>
        </is>
      </c>
    </row>
    <row r="8">
      <c r="A8" s="4" t="inlineStr">
        <is>
          <t>Underwriter</t>
        </is>
      </c>
      <c r="C8" s="4" t="n"/>
      <c r="E8" s="4" t="n"/>
      <c r="G8" s="4" t="inlineStr">
        <is>
          <t>Cape Town</t>
        </is>
      </c>
      <c r="I8" t="inlineStr">
        <is>
          <t>W</t>
        </is>
      </c>
      <c r="J8" t="inlineStr">
        <is>
          <t xml:space="preserve">Installation and maintenance of aircraft electrical, instrument, and radio systems across all aircraft classes  </t>
        </is>
      </c>
    </row>
    <row r="9">
      <c r="A9" s="4" t="inlineStr">
        <is>
          <t>Brokers</t>
        </is>
      </c>
      <c r="C9" s="4" t="n"/>
      <c r="E9" s="4" t="n"/>
      <c r="G9" s="4" t="inlineStr">
        <is>
          <t>Last Order</t>
        </is>
      </c>
      <c r="I9" t="inlineStr">
        <is>
          <t>X</t>
        </is>
      </c>
      <c r="J9" t="inlineStr">
        <is>
          <t xml:space="preserve">Overhaul, repair, testing, modification, and limited manufacture of equipment, instruments, components, accessories, auxiliaries, parts (e.g. propellers class X4, welding class X5)  </t>
        </is>
      </c>
    </row>
    <row r="10">
      <c r="A10" s="4" t="inlineStr">
        <is>
          <t>Flight School</t>
        </is>
      </c>
      <c r="C10" s="4" t="n"/>
      <c r="E10" s="4" t="n"/>
      <c r="G10" s="4" t="inlineStr">
        <is>
          <t>Edrich</t>
        </is>
      </c>
    </row>
    <row r="11">
      <c r="A11" s="4" t="inlineStr">
        <is>
          <t>Commercial</t>
        </is>
      </c>
      <c r="C11" s="4" t="n"/>
      <c r="E11" s="4" t="n"/>
      <c r="G11" s="4" t="inlineStr">
        <is>
          <t>Likely Closed</t>
        </is>
      </c>
    </row>
    <row r="12">
      <c r="A12" s="4" t="inlineStr">
        <is>
          <t>Motorsport</t>
        </is>
      </c>
      <c r="C12" s="4" t="n"/>
      <c r="E12" s="4" t="n"/>
      <c r="G12" s="4" t="n"/>
    </row>
    <row r="13">
      <c r="A13" s="4" t="n"/>
      <c r="C13" s="4" t="n"/>
      <c r="E13" s="4" t="n"/>
      <c r="G13" s="4" t="n"/>
    </row>
    <row r="14">
      <c r="A14" s="4" t="n"/>
      <c r="C14" s="4" t="n"/>
      <c r="E14" s="4" t="n"/>
      <c r="G14" s="4" t="n"/>
    </row>
    <row r="15">
      <c r="A15" s="4" t="n"/>
      <c r="C15" s="4" t="n"/>
      <c r="E15" s="4" t="n"/>
      <c r="G15" s="4" t="n"/>
    </row>
    <row r="16">
      <c r="A16" s="4" t="n"/>
      <c r="C16" s="4" t="n"/>
      <c r="E16" s="4" t="n"/>
      <c r="G16" s="4" t="n"/>
    </row>
    <row r="17">
      <c r="A17" s="4" t="n"/>
      <c r="C17" s="4" t="n"/>
      <c r="E17" s="4" t="n"/>
      <c r="G17" s="4" t="n"/>
    </row>
    <row r="18">
      <c r="A18" s="4" t="n"/>
      <c r="C18" s="4" t="n"/>
      <c r="E18" s="4" t="n"/>
      <c r="G18" s="4" t="n"/>
    </row>
    <row r="19">
      <c r="A19" s="4" t="n"/>
      <c r="C19" s="4" t="n"/>
      <c r="E19" s="4" t="n"/>
      <c r="G19" s="4" t="n"/>
    </row>
    <row r="20">
      <c r="A20" s="4" t="n"/>
      <c r="C20" s="4" t="n"/>
      <c r="E20" s="4" t="n"/>
      <c r="G20" s="4" t="n"/>
    </row>
    <row r="21">
      <c r="A21" s="4" t="n"/>
      <c r="C21" s="4" t="n"/>
      <c r="E21" s="4" t="n"/>
      <c r="G21" s="4" t="n"/>
    </row>
    <row r="22">
      <c r="A22" s="4" t="n"/>
      <c r="C22" s="4" t="n"/>
      <c r="E22" s="4" t="n"/>
      <c r="G22" s="4" t="n"/>
    </row>
    <row r="23">
      <c r="A23" s="4" t="n"/>
      <c r="C23" s="4" t="n"/>
      <c r="E23" s="4" t="n"/>
      <c r="G23" s="4" t="n"/>
    </row>
    <row r="24">
      <c r="A24" s="4" t="n"/>
      <c r="C24" s="4" t="n"/>
      <c r="E24" s="4" t="n"/>
      <c r="G24" s="4" t="n"/>
    </row>
    <row r="25">
      <c r="A25" s="4" t="n"/>
      <c r="C25" s="4" t="n"/>
      <c r="E25" s="4" t="n"/>
      <c r="G25" s="4" t="n"/>
    </row>
    <row r="26">
      <c r="A26" s="4" t="n"/>
    </row>
    <row r="27">
      <c r="A27" s="4" t="n"/>
    </row>
    <row r="28">
      <c r="A28" s="4" t="n"/>
    </row>
    <row r="29">
      <c r="A29" s="4" t="n"/>
    </row>
    <row r="30">
      <c r="A30" s="4" t="n"/>
    </row>
    <row r="31">
      <c r="A31" s="4" t="n"/>
    </row>
    <row r="32">
      <c r="A32" s="4" t="n"/>
    </row>
    <row r="33">
      <c r="A33" s="4" t="n"/>
    </row>
    <row r="34">
      <c r="A34" s="4" t="n"/>
    </row>
    <row r="35">
      <c r="A35" s="4" t="n"/>
    </row>
    <row r="36">
      <c r="A36" s="4" t="n"/>
    </row>
    <row r="37">
      <c r="A37" s="4" t="n"/>
    </row>
    <row r="38">
      <c r="A38" s="4" t="n"/>
    </row>
    <row r="39">
      <c r="A39" s="4" t="n"/>
    </row>
    <row r="40">
      <c r="A40" s="4" t="n"/>
    </row>
    <row r="41">
      <c r="A41" s="4" t="n"/>
    </row>
    <row r="42">
      <c r="A42" s="4" t="n"/>
    </row>
    <row r="43">
      <c r="A43" s="4" t="n"/>
    </row>
    <row r="44">
      <c r="A44" s="4" t="n"/>
    </row>
    <row r="45">
      <c r="A45" s="4" t="n"/>
    </row>
    <row r="46">
      <c r="A46" s="4" t="n"/>
    </row>
    <row r="47">
      <c r="A47" s="4" t="n"/>
    </row>
    <row r="48">
      <c r="A48" s="4" t="n"/>
    </row>
    <row r="49">
      <c r="A49" s="4" t="n"/>
    </row>
    <row r="50">
      <c r="A50" s="4" t="n"/>
    </row>
  </sheetData>
  <mergeCells count="1">
    <mergeCell ref="I1:J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K426"/>
  <sheetViews>
    <sheetView workbookViewId="0">
      <selection activeCell="A1" sqref="A1"/>
    </sheetView>
  </sheetViews>
  <sheetFormatPr baseColWidth="8" defaultRowHeight="15"/>
  <sheetData>
    <row r="1">
      <c r="A1" s="196" t="inlineStr">
        <is>
          <t>C_ID</t>
        </is>
      </c>
      <c r="B1" s="196" t="inlineStr">
        <is>
          <t>Company</t>
        </is>
      </c>
      <c r="C1" s="196" t="inlineStr">
        <is>
          <t>QuickNooks_Name</t>
        </is>
      </c>
      <c r="D1" s="196" t="inlineStr">
        <is>
          <t>Last_Order_Date</t>
        </is>
      </c>
      <c r="E1" s="196" t="inlineStr">
        <is>
          <t>Category</t>
        </is>
      </c>
      <c r="F1" s="196" t="inlineStr">
        <is>
          <t>Strat</t>
        </is>
      </c>
      <c r="G1" s="196" t="inlineStr">
        <is>
          <t>Priority</t>
        </is>
      </c>
      <c r="H1" s="196" t="inlineStr">
        <is>
          <t>Status</t>
        </is>
      </c>
      <c r="I1" s="196" t="inlineStr">
        <is>
          <t>LoadDate</t>
        </is>
      </c>
      <c r="J1" s="196" t="inlineStr">
        <is>
          <t>Checked</t>
        </is>
      </c>
      <c r="K1" s="196" t="inlineStr">
        <is>
          <t>Website</t>
        </is>
      </c>
    </row>
    <row r="2">
      <c r="A2" t="n">
        <v>1</v>
      </c>
      <c r="B2" t="inlineStr">
        <is>
          <t>208 Aviation CC</t>
        </is>
      </c>
      <c r="C2" t="inlineStr">
        <is>
          <t>208 Aviation CC</t>
        </is>
      </c>
      <c r="D2" s="206" t="n">
        <v>45810</v>
      </c>
      <c r="E2" t="inlineStr">
        <is>
          <t>Unspecified</t>
        </is>
      </c>
      <c r="F2" t="inlineStr"/>
      <c r="G2" t="inlineStr">
        <is>
          <t>Low</t>
        </is>
      </c>
      <c r="H2" t="inlineStr">
        <is>
          <t>Investigate</t>
        </is>
      </c>
      <c r="I2" t="inlineStr">
        <is>
          <t>1970-01-01</t>
        </is>
      </c>
      <c r="J2" t="inlineStr"/>
      <c r="K2" t="inlineStr">
        <is>
          <t>https://www.santam.co.za/insurance/for-specialised-risks/aviation/</t>
        </is>
      </c>
    </row>
    <row r="3">
      <c r="A3" t="n">
        <v>2</v>
      </c>
      <c r="B3" t="inlineStr">
        <is>
          <t>360 Aviation</t>
        </is>
      </c>
      <c r="C3" t="inlineStr">
        <is>
          <t>360 Aviation</t>
        </is>
      </c>
      <c r="D3" t="inlineStr"/>
      <c r="E3" t="inlineStr">
        <is>
          <t>AMO - Heli</t>
        </is>
      </c>
      <c r="F3" t="inlineStr">
        <is>
          <t>Client</t>
        </is>
      </c>
      <c r="G3" t="inlineStr">
        <is>
          <t>Low</t>
        </is>
      </c>
      <c r="H3" t="inlineStr">
        <is>
          <t>Contacted</t>
        </is>
      </c>
      <c r="I3" t="inlineStr">
        <is>
          <t>2025-07-01</t>
        </is>
      </c>
      <c r="J3" t="inlineStr"/>
      <c r="K3" t="inlineStr">
        <is>
          <t>https://itoo.co.za</t>
        </is>
      </c>
    </row>
    <row r="4">
      <c r="A4" t="n">
        <v>3</v>
      </c>
      <c r="B4" t="inlineStr">
        <is>
          <t>43 Air School</t>
        </is>
      </c>
      <c r="C4" t="inlineStr">
        <is>
          <t>43 Air School</t>
        </is>
      </c>
      <c r="D4" t="inlineStr"/>
      <c r="E4" t="inlineStr">
        <is>
          <t>Unspecified</t>
        </is>
      </c>
      <c r="F4" t="inlineStr"/>
      <c r="G4" t="inlineStr">
        <is>
          <t>Low</t>
        </is>
      </c>
      <c r="H4" t="inlineStr">
        <is>
          <t>Investigate</t>
        </is>
      </c>
      <c r="I4" t="inlineStr">
        <is>
          <t>1970-01-01</t>
        </is>
      </c>
      <c r="J4" t="inlineStr"/>
      <c r="K4" t="inlineStr"/>
    </row>
    <row r="5">
      <c r="A5" t="n">
        <v>4</v>
      </c>
      <c r="B5" t="inlineStr">
        <is>
          <t>4aviators</t>
        </is>
      </c>
      <c r="C5" t="inlineStr">
        <is>
          <t>4aviators</t>
        </is>
      </c>
      <c r="D5" t="inlineStr"/>
      <c r="E5" t="inlineStr">
        <is>
          <t>Flight School</t>
        </is>
      </c>
      <c r="F5" t="inlineStr"/>
      <c r="G5" t="inlineStr">
        <is>
          <t>Low</t>
        </is>
      </c>
      <c r="H5" t="inlineStr">
        <is>
          <t>Unknown</t>
        </is>
      </c>
      <c r="I5" t="inlineStr">
        <is>
          <t>1970-01-01</t>
        </is>
      </c>
      <c r="J5" t="inlineStr"/>
      <c r="K5" t="inlineStr">
        <is>
          <t>https://www.infinitiafrica.com</t>
        </is>
      </c>
    </row>
    <row r="6">
      <c r="A6" t="n">
        <v>5</v>
      </c>
      <c r="B6" t="inlineStr">
        <is>
          <t>Absolute Service Centre (Pty) Ltd</t>
        </is>
      </c>
      <c r="C6" t="inlineStr">
        <is>
          <t>Absolute Service Centre</t>
        </is>
      </c>
      <c r="D6" s="206" t="n">
        <v>42247</v>
      </c>
      <c r="E6" t="inlineStr">
        <is>
          <t>Unspecified</t>
        </is>
      </c>
      <c r="F6" t="inlineStr"/>
      <c r="G6" t="inlineStr">
        <is>
          <t>Low</t>
        </is>
      </c>
      <c r="H6" t="inlineStr">
        <is>
          <t>Investigate</t>
        </is>
      </c>
      <c r="I6" t="inlineStr">
        <is>
          <t>1970-01-01</t>
        </is>
      </c>
      <c r="J6" t="inlineStr"/>
      <c r="K6" t="inlineStr"/>
    </row>
    <row r="7">
      <c r="A7" t="n">
        <v>6</v>
      </c>
      <c r="B7" t="inlineStr">
        <is>
          <t>Academy Air</t>
        </is>
      </c>
      <c r="C7" t="inlineStr">
        <is>
          <t>Acadamy Air Charl Truter</t>
        </is>
      </c>
      <c r="D7" s="206" t="n">
        <v>41550</v>
      </c>
      <c r="E7" t="inlineStr">
        <is>
          <t>Unspecified</t>
        </is>
      </c>
      <c r="F7" t="inlineStr"/>
      <c r="G7" t="inlineStr">
        <is>
          <t>Low</t>
        </is>
      </c>
      <c r="H7" t="inlineStr">
        <is>
          <t>Investigate</t>
        </is>
      </c>
      <c r="I7" t="inlineStr">
        <is>
          <t>1970-01-01</t>
        </is>
      </c>
      <c r="J7" t="inlineStr"/>
      <c r="K7" t="inlineStr">
        <is>
          <t>https://www.aig.com/home/risk-solutions/business/specialty-risks/aerospace-and-aviation#accordion-df98a3f1db-item-e1731f5793</t>
        </is>
      </c>
    </row>
    <row r="8">
      <c r="A8" t="n">
        <v>7</v>
      </c>
      <c r="B8" t="inlineStr">
        <is>
          <t>Acher Aviation</t>
        </is>
      </c>
      <c r="C8" t="inlineStr">
        <is>
          <t>Acher Aviation Helicopters</t>
        </is>
      </c>
      <c r="D8" s="206" t="n">
        <v>45859</v>
      </c>
      <c r="E8" t="inlineStr">
        <is>
          <t>Unspecified</t>
        </is>
      </c>
      <c r="F8" t="inlineStr"/>
      <c r="G8" t="inlineStr">
        <is>
          <t>Low</t>
        </is>
      </c>
      <c r="H8" t="inlineStr">
        <is>
          <t>Investigate</t>
        </is>
      </c>
      <c r="I8" t="inlineStr">
        <is>
          <t>1970-01-01</t>
        </is>
      </c>
      <c r="J8" t="inlineStr"/>
      <c r="K8" t="inlineStr"/>
    </row>
    <row r="9">
      <c r="A9" t="n">
        <v>8</v>
      </c>
      <c r="B9" t="inlineStr">
        <is>
          <t>ADT Heliworx</t>
        </is>
      </c>
      <c r="C9" t="inlineStr">
        <is>
          <t>ADT Heliworx</t>
        </is>
      </c>
      <c r="D9" t="inlineStr"/>
      <c r="E9" t="inlineStr">
        <is>
          <t>Unspecified</t>
        </is>
      </c>
      <c r="F9" t="inlineStr"/>
      <c r="G9" t="inlineStr">
        <is>
          <t>Low</t>
        </is>
      </c>
      <c r="H9" t="inlineStr">
        <is>
          <t>Investigate</t>
        </is>
      </c>
      <c r="I9" t="inlineStr">
        <is>
          <t>1970-01-01</t>
        </is>
      </c>
      <c r="J9" t="inlineStr"/>
      <c r="K9" t="inlineStr"/>
    </row>
    <row r="10">
      <c r="A10" t="n">
        <v>9</v>
      </c>
      <c r="B10" t="inlineStr">
        <is>
          <t>Advanced Technologies &amp;
Engineering(PTY)Ltd t/a Paramount Aerospace Systemes</t>
        </is>
      </c>
      <c r="C10" t="inlineStr">
        <is>
          <t>Advanced Technologies &amp;
Engineering(PTY)Ltd t/a Paramount Aerospace Systemes</t>
        </is>
      </c>
      <c r="D10" t="inlineStr"/>
      <c r="E10" t="inlineStr">
        <is>
          <t>Unspecified</t>
        </is>
      </c>
      <c r="F10" t="inlineStr"/>
      <c r="G10" t="inlineStr">
        <is>
          <t>Low</t>
        </is>
      </c>
      <c r="H10" t="inlineStr">
        <is>
          <t>Investigate</t>
        </is>
      </c>
      <c r="I10" t="inlineStr">
        <is>
          <t>1970-01-01</t>
        </is>
      </c>
      <c r="J10" t="inlineStr"/>
      <c r="K10" t="inlineStr"/>
    </row>
    <row r="11">
      <c r="A11" t="n">
        <v>10</v>
      </c>
      <c r="B11" t="inlineStr">
        <is>
          <t>Adventure Air</t>
        </is>
      </c>
      <c r="C11" t="inlineStr">
        <is>
          <t>Adventure Air</t>
        </is>
      </c>
      <c r="D11" s="206" t="n">
        <v>44586</v>
      </c>
      <c r="E11" t="inlineStr">
        <is>
          <t>Unspecified</t>
        </is>
      </c>
      <c r="F11" t="inlineStr"/>
      <c r="G11" t="inlineStr">
        <is>
          <t>Low</t>
        </is>
      </c>
      <c r="H11" t="inlineStr">
        <is>
          <t>Investigate</t>
        </is>
      </c>
      <c r="I11" t="inlineStr">
        <is>
          <t>1970-01-01</t>
        </is>
      </c>
      <c r="J11" t="inlineStr"/>
      <c r="K11" t="inlineStr"/>
    </row>
    <row r="12">
      <c r="A12" t="n">
        <v>11</v>
      </c>
      <c r="B12" t="inlineStr">
        <is>
          <t>Aero Electrical Solutions</t>
        </is>
      </c>
      <c r="C12" t="inlineStr">
        <is>
          <t>Aero Electrical Solutions</t>
        </is>
      </c>
      <c r="D12" t="inlineStr"/>
      <c r="E12" t="inlineStr">
        <is>
          <t>Unspecified</t>
        </is>
      </c>
      <c r="F12" t="inlineStr"/>
      <c r="G12" t="inlineStr">
        <is>
          <t>Low</t>
        </is>
      </c>
      <c r="H12" t="inlineStr">
        <is>
          <t>Investigate</t>
        </is>
      </c>
      <c r="I12" t="inlineStr">
        <is>
          <t>1970-01-01</t>
        </is>
      </c>
      <c r="J12" t="inlineStr"/>
      <c r="K12" t="inlineStr"/>
    </row>
    <row r="13">
      <c r="A13" t="n">
        <v>12</v>
      </c>
      <c r="B13" t="inlineStr">
        <is>
          <t>Aero Engineering and Powerplant</t>
        </is>
      </c>
      <c r="C13" t="inlineStr">
        <is>
          <t>Aero Engineering and Powerplant</t>
        </is>
      </c>
      <c r="D13" t="inlineStr"/>
      <c r="E13" t="inlineStr">
        <is>
          <t>Unspecified</t>
        </is>
      </c>
      <c r="F13" t="inlineStr"/>
      <c r="G13" t="inlineStr">
        <is>
          <t>Low</t>
        </is>
      </c>
      <c r="H13" t="inlineStr">
        <is>
          <t>Investigate</t>
        </is>
      </c>
      <c r="I13" t="inlineStr">
        <is>
          <t>1970-01-01</t>
        </is>
      </c>
      <c r="J13" t="inlineStr"/>
      <c r="K13" t="inlineStr"/>
    </row>
    <row r="14">
      <c r="A14" t="n">
        <v>13</v>
      </c>
      <c r="B14" t="inlineStr">
        <is>
          <t>Aero Maintenance Centre CC</t>
        </is>
      </c>
      <c r="C14" t="inlineStr">
        <is>
          <t>Aero Maintenance Centre CC</t>
        </is>
      </c>
      <c r="D14" t="inlineStr"/>
      <c r="E14" t="inlineStr">
        <is>
          <t>Unspecified</t>
        </is>
      </c>
      <c r="F14" t="inlineStr"/>
      <c r="G14" t="inlineStr">
        <is>
          <t>Low</t>
        </is>
      </c>
      <c r="H14" t="inlineStr">
        <is>
          <t>Investigate</t>
        </is>
      </c>
      <c r="I14" t="inlineStr">
        <is>
          <t>1970-01-01</t>
        </is>
      </c>
      <c r="J14" t="inlineStr"/>
      <c r="K14" t="inlineStr"/>
    </row>
    <row r="15">
      <c r="A15" t="n">
        <v>14</v>
      </c>
      <c r="B15" t="inlineStr">
        <is>
          <t>Aero Natal (Pty) Ltd</t>
        </is>
      </c>
      <c r="C15" t="inlineStr">
        <is>
          <t>Aero Natal (Pty) Ltd</t>
        </is>
      </c>
      <c r="D15" t="inlineStr"/>
      <c r="E15" t="inlineStr">
        <is>
          <t>Unspecified</t>
        </is>
      </c>
      <c r="F15" t="inlineStr"/>
      <c r="G15" t="inlineStr">
        <is>
          <t>Low</t>
        </is>
      </c>
      <c r="H15" t="inlineStr">
        <is>
          <t>Investigate</t>
        </is>
      </c>
      <c r="I15" t="inlineStr">
        <is>
          <t>1970-01-01</t>
        </is>
      </c>
      <c r="J15" t="inlineStr"/>
      <c r="K15" t="inlineStr"/>
    </row>
    <row r="16">
      <c r="A16" t="n">
        <v>15</v>
      </c>
      <c r="B16" t="inlineStr">
        <is>
          <t>Aero Services Pty Ltd</t>
        </is>
      </c>
      <c r="C16" t="inlineStr">
        <is>
          <t>Aero Services Pty Ltd</t>
        </is>
      </c>
      <c r="D16" t="inlineStr"/>
      <c r="E16" t="inlineStr">
        <is>
          <t>Unspecified</t>
        </is>
      </c>
      <c r="F16" t="inlineStr"/>
      <c r="G16" t="inlineStr">
        <is>
          <t>Low</t>
        </is>
      </c>
      <c r="H16" t="inlineStr">
        <is>
          <t>Investigate</t>
        </is>
      </c>
      <c r="I16" t="inlineStr">
        <is>
          <t>1970-01-01</t>
        </is>
      </c>
      <c r="J16" t="inlineStr"/>
      <c r="K16" t="inlineStr"/>
    </row>
    <row r="17">
      <c r="A17" t="n">
        <v>16</v>
      </c>
      <c r="B17" t="inlineStr">
        <is>
          <t>Aero Test NDT cc</t>
        </is>
      </c>
      <c r="C17" t="inlineStr">
        <is>
          <t>Aero Test NDT cc</t>
        </is>
      </c>
      <c r="D17" t="inlineStr"/>
      <c r="E17" t="inlineStr">
        <is>
          <t>Unspecified</t>
        </is>
      </c>
      <c r="F17" t="inlineStr"/>
      <c r="G17" t="inlineStr">
        <is>
          <t>Low</t>
        </is>
      </c>
      <c r="H17" t="inlineStr">
        <is>
          <t>Investigate</t>
        </is>
      </c>
      <c r="I17" t="inlineStr">
        <is>
          <t>1970-01-01</t>
        </is>
      </c>
      <c r="J17" t="inlineStr"/>
      <c r="K17" t="inlineStr"/>
    </row>
    <row r="18">
      <c r="A18" t="n">
        <v>17</v>
      </c>
      <c r="B18" t="inlineStr">
        <is>
          <t>AEROCORPORATION AVIATION SERVICES
AMO (Pty) Ltd</t>
        </is>
      </c>
      <c r="C18" t="inlineStr">
        <is>
          <t>AEROCORPORATION AVIATION SERVICES
AMO (Pty) Ltd</t>
        </is>
      </c>
      <c r="D18" t="inlineStr"/>
      <c r="E18" t="inlineStr">
        <is>
          <t>Unspecified</t>
        </is>
      </c>
      <c r="F18" t="inlineStr"/>
      <c r="G18" t="inlineStr">
        <is>
          <t>Low</t>
        </is>
      </c>
      <c r="H18" t="inlineStr">
        <is>
          <t>Investigate</t>
        </is>
      </c>
      <c r="I18" t="inlineStr">
        <is>
          <t>1970-01-01</t>
        </is>
      </c>
      <c r="J18" t="inlineStr"/>
      <c r="K18" t="inlineStr">
        <is>
          <t>https://www.flightsure.co.za/</t>
        </is>
      </c>
    </row>
    <row r="19">
      <c r="A19" t="n">
        <v>18</v>
      </c>
      <c r="B19" t="inlineStr">
        <is>
          <t>AEROMARITIME MEDITERRANEAN- MALTA</t>
        </is>
      </c>
      <c r="C19" t="inlineStr">
        <is>
          <t>AEROMARITIME MEDITERRANEAN- MALTA</t>
        </is>
      </c>
      <c r="D19" t="inlineStr"/>
      <c r="E19" t="inlineStr">
        <is>
          <t>Unspecified</t>
        </is>
      </c>
      <c r="F19" t="inlineStr"/>
      <c r="G19" t="inlineStr">
        <is>
          <t>Low</t>
        </is>
      </c>
      <c r="H19" t="inlineStr">
        <is>
          <t>Investigate</t>
        </is>
      </c>
      <c r="I19" t="inlineStr">
        <is>
          <t>1970-01-01</t>
        </is>
      </c>
      <c r="J19" t="inlineStr"/>
      <c r="K19" t="inlineStr">
        <is>
          <t>https://www.arcaviation.co.za/</t>
        </is>
      </c>
    </row>
    <row r="20">
      <c r="A20" t="n">
        <v>19</v>
      </c>
      <c r="B20" t="inlineStr">
        <is>
          <t>Aeronautic Solutions (Pty) Ltd</t>
        </is>
      </c>
      <c r="C20" t="inlineStr">
        <is>
          <t>Aeronautic Solutions (Pty) Ltd</t>
        </is>
      </c>
      <c r="D20" t="inlineStr"/>
      <c r="E20" t="inlineStr">
        <is>
          <t>Unspecified</t>
        </is>
      </c>
      <c r="F20" t="inlineStr"/>
      <c r="G20" t="inlineStr">
        <is>
          <t>Low</t>
        </is>
      </c>
      <c r="H20" t="inlineStr">
        <is>
          <t>Investigate</t>
        </is>
      </c>
      <c r="I20" t="inlineStr">
        <is>
          <t>1970-01-01</t>
        </is>
      </c>
      <c r="J20" t="inlineStr"/>
      <c r="K20" t="inlineStr"/>
    </row>
    <row r="21">
      <c r="A21" t="n">
        <v>20</v>
      </c>
      <c r="B21" t="inlineStr">
        <is>
          <t>Aeronautical Aviation</t>
        </is>
      </c>
      <c r="C21" t="inlineStr">
        <is>
          <t>Aeronautical Aviation</t>
        </is>
      </c>
      <c r="D21" t="inlineStr"/>
      <c r="E21" t="inlineStr">
        <is>
          <t>Unspecified</t>
        </is>
      </c>
      <c r="F21" t="inlineStr"/>
      <c r="G21" t="inlineStr">
        <is>
          <t>Low</t>
        </is>
      </c>
      <c r="H21" t="inlineStr">
        <is>
          <t>Investigate</t>
        </is>
      </c>
      <c r="I21" t="inlineStr">
        <is>
          <t>1970-01-01</t>
        </is>
      </c>
      <c r="J21" t="inlineStr"/>
      <c r="K21" t="inlineStr"/>
    </row>
    <row r="22">
      <c r="A22" t="n">
        <v>21</v>
      </c>
      <c r="B22" t="inlineStr">
        <is>
          <t>Aeronexus Corporate (PTY) LTD</t>
        </is>
      </c>
      <c r="C22" t="inlineStr">
        <is>
          <t>Aeronexus</t>
        </is>
      </c>
      <c r="D22" s="206" t="n">
        <v>38818</v>
      </c>
      <c r="E22" t="inlineStr">
        <is>
          <t>Unspecified</t>
        </is>
      </c>
      <c r="F22" t="inlineStr"/>
      <c r="G22" t="inlineStr">
        <is>
          <t>Low</t>
        </is>
      </c>
      <c r="H22" t="inlineStr">
        <is>
          <t>Investigate</t>
        </is>
      </c>
      <c r="I22" t="inlineStr">
        <is>
          <t>1970-01-01</t>
        </is>
      </c>
      <c r="J22" t="inlineStr"/>
      <c r="K22" t="inlineStr"/>
    </row>
    <row r="23">
      <c r="A23" t="n">
        <v>22</v>
      </c>
      <c r="B23" t="inlineStr">
        <is>
          <t>Aerospace Electroplating CC</t>
        </is>
      </c>
      <c r="C23" t="inlineStr">
        <is>
          <t>Aerospace Electroplating CC</t>
        </is>
      </c>
      <c r="D23" t="inlineStr"/>
      <c r="E23" t="inlineStr">
        <is>
          <t>Unspecified</t>
        </is>
      </c>
      <c r="F23" t="inlineStr"/>
      <c r="G23" t="inlineStr">
        <is>
          <t>Low</t>
        </is>
      </c>
      <c r="H23" t="inlineStr">
        <is>
          <t>Investigate</t>
        </is>
      </c>
      <c r="I23" t="inlineStr">
        <is>
          <t>1970-01-01</t>
        </is>
      </c>
      <c r="J23" t="inlineStr"/>
      <c r="K23" t="inlineStr">
        <is>
          <t>https://pilotinsure.co.za</t>
        </is>
      </c>
    </row>
    <row r="24">
      <c r="A24" t="n">
        <v>23</v>
      </c>
      <c r="B24" t="inlineStr">
        <is>
          <t>Aerotec</t>
        </is>
      </c>
      <c r="C24" t="inlineStr">
        <is>
          <t>Aerotec</t>
        </is>
      </c>
      <c r="D24" t="inlineStr"/>
      <c r="E24" t="inlineStr">
        <is>
          <t>Unspecified</t>
        </is>
      </c>
      <c r="F24" t="inlineStr"/>
      <c r="G24" t="inlineStr">
        <is>
          <t>Low</t>
        </is>
      </c>
      <c r="H24" t="inlineStr">
        <is>
          <t>Investigate</t>
        </is>
      </c>
      <c r="I24" t="inlineStr">
        <is>
          <t>1970-01-01</t>
        </is>
      </c>
      <c r="J24" t="inlineStr"/>
      <c r="K24" t="inlineStr"/>
    </row>
    <row r="25">
      <c r="A25" t="n">
        <v>24</v>
      </c>
      <c r="B25" t="inlineStr">
        <is>
          <t>AEROTRIC (Pty)Ltd</t>
        </is>
      </c>
      <c r="C25" t="inlineStr">
        <is>
          <t>AEROTRIC (Pty)Ltd</t>
        </is>
      </c>
      <c r="D25" t="inlineStr"/>
      <c r="E25" t="inlineStr">
        <is>
          <t>Unspecified</t>
        </is>
      </c>
      <c r="F25" t="inlineStr"/>
      <c r="G25" t="inlineStr">
        <is>
          <t>Low</t>
        </is>
      </c>
      <c r="H25" t="inlineStr">
        <is>
          <t>Investigate</t>
        </is>
      </c>
      <c r="I25" t="inlineStr">
        <is>
          <t>1970-01-01</t>
        </is>
      </c>
      <c r="J25" t="inlineStr"/>
      <c r="K25" t="inlineStr">
        <is>
          <t>https://4aviators.com/</t>
        </is>
      </c>
    </row>
    <row r="26">
      <c r="A26" t="n">
        <v>25</v>
      </c>
      <c r="B26" t="inlineStr">
        <is>
          <t>Aeroweld &amp; Supplies</t>
        </is>
      </c>
      <c r="C26" t="inlineStr">
        <is>
          <t>Aeroweld &amp; Supplies</t>
        </is>
      </c>
      <c r="D26" t="inlineStr"/>
      <c r="E26" t="inlineStr">
        <is>
          <t>Unspecified</t>
        </is>
      </c>
      <c r="F26" t="inlineStr"/>
      <c r="G26" t="inlineStr">
        <is>
          <t>Low</t>
        </is>
      </c>
      <c r="H26" t="inlineStr">
        <is>
          <t>Investigate</t>
        </is>
      </c>
      <c r="I26" t="inlineStr">
        <is>
          <t>1970-01-01</t>
        </is>
      </c>
      <c r="J26" t="inlineStr"/>
      <c r="K26" t="inlineStr">
        <is>
          <t>https://agmfsg.co.za/specialist-insurance-commercial/</t>
        </is>
      </c>
    </row>
    <row r="27">
      <c r="A27" t="n">
        <v>26</v>
      </c>
      <c r="B27" t="inlineStr">
        <is>
          <t>Afritec Aviation Services</t>
        </is>
      </c>
      <c r="C27" t="inlineStr">
        <is>
          <t>Afritec Aviation Services</t>
        </is>
      </c>
      <c r="D27" t="inlineStr"/>
      <c r="E27" t="inlineStr">
        <is>
          <t>Unspecified</t>
        </is>
      </c>
      <c r="F27" t="inlineStr"/>
      <c r="G27" t="inlineStr">
        <is>
          <t>Low</t>
        </is>
      </c>
      <c r="H27" t="inlineStr">
        <is>
          <t>Investigate</t>
        </is>
      </c>
      <c r="I27" t="inlineStr">
        <is>
          <t>1970-01-01</t>
        </is>
      </c>
      <c r="J27" t="inlineStr"/>
      <c r="K27" t="inlineStr"/>
    </row>
    <row r="28">
      <c r="A28" t="n">
        <v>27</v>
      </c>
      <c r="B28" t="inlineStr">
        <is>
          <t>Against The Wind</t>
        </is>
      </c>
      <c r="C28" t="inlineStr">
        <is>
          <t>Against The Wind</t>
        </is>
      </c>
      <c r="D28" t="inlineStr"/>
      <c r="E28" t="inlineStr">
        <is>
          <t>Unspecified</t>
        </is>
      </c>
      <c r="F28" t="inlineStr"/>
      <c r="G28" t="inlineStr">
        <is>
          <t>Low</t>
        </is>
      </c>
      <c r="H28" t="inlineStr">
        <is>
          <t>Investigate</t>
        </is>
      </c>
      <c r="I28" t="inlineStr">
        <is>
          <t>1970-01-01</t>
        </is>
      </c>
      <c r="J28" t="inlineStr"/>
      <c r="K28" t="inlineStr"/>
    </row>
    <row r="29">
      <c r="A29" t="n">
        <v>28</v>
      </c>
      <c r="B29" t="inlineStr">
        <is>
          <t>AGM</t>
        </is>
      </c>
      <c r="C29" t="inlineStr">
        <is>
          <t>AGM</t>
        </is>
      </c>
      <c r="D29" t="inlineStr"/>
      <c r="E29" t="inlineStr">
        <is>
          <t>Insurance</t>
        </is>
      </c>
      <c r="F29" t="inlineStr">
        <is>
          <t>Approved Supplier</t>
        </is>
      </c>
      <c r="G29" t="inlineStr">
        <is>
          <t>Low</t>
        </is>
      </c>
      <c r="H29" t="inlineStr">
        <is>
          <t>Unknown</t>
        </is>
      </c>
      <c r="I29" t="inlineStr">
        <is>
          <t>1970-01-01</t>
        </is>
      </c>
      <c r="J29" t="inlineStr"/>
      <c r="K29" t="inlineStr"/>
    </row>
    <row r="30">
      <c r="A30" t="n">
        <v>29</v>
      </c>
      <c r="B30" t="inlineStr">
        <is>
          <t>Aiforce Turbine Services Texas</t>
        </is>
      </c>
      <c r="C30" t="inlineStr">
        <is>
          <t>Aiforce Turbine Services Texas</t>
        </is>
      </c>
      <c r="D30" t="inlineStr"/>
      <c r="E30" t="inlineStr">
        <is>
          <t>Unspecified</t>
        </is>
      </c>
      <c r="F30" t="inlineStr"/>
      <c r="G30" t="inlineStr">
        <is>
          <t>Low</t>
        </is>
      </c>
      <c r="H30" t="inlineStr">
        <is>
          <t>Investigate</t>
        </is>
      </c>
      <c r="I30" t="inlineStr">
        <is>
          <t>1970-01-01</t>
        </is>
      </c>
      <c r="J30" t="inlineStr"/>
      <c r="K30" t="inlineStr"/>
    </row>
    <row r="31">
      <c r="A31" t="n">
        <v>30</v>
      </c>
      <c r="B31" t="inlineStr">
        <is>
          <t>AIG South Africa</t>
        </is>
      </c>
      <c r="C31" t="inlineStr">
        <is>
          <t>AIG South Africa</t>
        </is>
      </c>
      <c r="D31" t="inlineStr"/>
      <c r="E31" t="inlineStr">
        <is>
          <t>Insurance</t>
        </is>
      </c>
      <c r="F31" t="inlineStr">
        <is>
          <t>Approved Supplier</t>
        </is>
      </c>
      <c r="G31" t="inlineStr">
        <is>
          <t>Low</t>
        </is>
      </c>
      <c r="H31" t="inlineStr">
        <is>
          <t>Done</t>
        </is>
      </c>
      <c r="I31" t="inlineStr">
        <is>
          <t>2025-07-14</t>
        </is>
      </c>
      <c r="J31" t="n">
        <v>1</v>
      </c>
      <c r="K31" t="inlineStr"/>
    </row>
    <row r="32">
      <c r="A32" t="n">
        <v>31</v>
      </c>
      <c r="B32" t="inlineStr">
        <is>
          <t>AIR EXPRESS ALGERIA</t>
        </is>
      </c>
      <c r="C32" t="inlineStr">
        <is>
          <t>AIR EXPRESS ALGERIA</t>
        </is>
      </c>
      <c r="D32" t="inlineStr"/>
      <c r="E32" t="inlineStr">
        <is>
          <t>Unspecified</t>
        </is>
      </c>
      <c r="F32" t="inlineStr"/>
      <c r="G32" t="inlineStr">
        <is>
          <t>Low</t>
        </is>
      </c>
      <c r="H32" t="inlineStr">
        <is>
          <t>Investigate</t>
        </is>
      </c>
      <c r="I32" t="inlineStr">
        <is>
          <t>1970-01-01</t>
        </is>
      </c>
      <c r="J32" t="inlineStr"/>
      <c r="K32" t="inlineStr"/>
    </row>
    <row r="33">
      <c r="A33" t="n">
        <v>32</v>
      </c>
      <c r="B33" t="inlineStr">
        <is>
          <t>Air Hart Aircraft CC.</t>
        </is>
      </c>
      <c r="C33" t="inlineStr">
        <is>
          <t>Air Hart Aircraft</t>
        </is>
      </c>
      <c r="D33" s="206" t="n">
        <v>37512</v>
      </c>
      <c r="E33" t="inlineStr">
        <is>
          <t>Unspecified</t>
        </is>
      </c>
      <c r="F33" t="inlineStr"/>
      <c r="G33" t="inlineStr">
        <is>
          <t>Low</t>
        </is>
      </c>
      <c r="H33" t="inlineStr">
        <is>
          <t>Investigate</t>
        </is>
      </c>
      <c r="I33" t="inlineStr">
        <is>
          <t>1970-01-01</t>
        </is>
      </c>
      <c r="J33" t="inlineStr"/>
      <c r="K33" t="inlineStr"/>
    </row>
    <row r="34">
      <c r="A34" t="n">
        <v>33</v>
      </c>
      <c r="B34" t="inlineStr">
        <is>
          <t>Air Mauritius Ltd</t>
        </is>
      </c>
      <c r="C34" t="inlineStr">
        <is>
          <t>Air Mauritius Ltd</t>
        </is>
      </c>
      <c r="D34" t="inlineStr"/>
      <c r="E34" t="inlineStr">
        <is>
          <t>Unspecified</t>
        </is>
      </c>
      <c r="F34" t="inlineStr"/>
      <c r="G34" t="inlineStr">
        <is>
          <t>Low</t>
        </is>
      </c>
      <c r="H34" t="inlineStr">
        <is>
          <t>Investigate</t>
        </is>
      </c>
      <c r="I34" t="inlineStr">
        <is>
          <t>1970-01-01</t>
        </is>
      </c>
      <c r="J34" t="inlineStr"/>
      <c r="K34" t="inlineStr"/>
    </row>
    <row r="35">
      <c r="A35" t="n">
        <v>34</v>
      </c>
      <c r="B35" t="inlineStr">
        <is>
          <t>Air Serve</t>
        </is>
      </c>
      <c r="C35" t="inlineStr">
        <is>
          <t>Air Serve</t>
        </is>
      </c>
      <c r="D35" t="inlineStr"/>
      <c r="E35" t="inlineStr">
        <is>
          <t>Unspecified</t>
        </is>
      </c>
      <c r="F35" t="inlineStr"/>
      <c r="G35" t="inlineStr">
        <is>
          <t>Low</t>
        </is>
      </c>
      <c r="H35" t="inlineStr">
        <is>
          <t>Investigate</t>
        </is>
      </c>
      <c r="I35" t="inlineStr">
        <is>
          <t>1970-01-01</t>
        </is>
      </c>
      <c r="J35" t="inlineStr"/>
      <c r="K35" t="inlineStr"/>
    </row>
    <row r="36">
      <c r="A36" t="n">
        <v>35</v>
      </c>
      <c r="B36" t="inlineStr">
        <is>
          <t>Airborne Insurance Consultants (PSG Insure)</t>
        </is>
      </c>
      <c r="C36" t="inlineStr">
        <is>
          <t>Airborne Insurance Consultants (PSG Insure)</t>
        </is>
      </c>
      <c r="D36" t="inlineStr"/>
      <c r="E36" t="inlineStr">
        <is>
          <t>Brokers</t>
        </is>
      </c>
      <c r="F36" t="inlineStr">
        <is>
          <t>Approved Supplier</t>
        </is>
      </c>
      <c r="G36" t="inlineStr">
        <is>
          <t>Low</t>
        </is>
      </c>
      <c r="H36" t="inlineStr">
        <is>
          <t>Unknown</t>
        </is>
      </c>
      <c r="I36" t="inlineStr">
        <is>
          <t>1970-01-01</t>
        </is>
      </c>
      <c r="J36" t="inlineStr"/>
      <c r="K36" t="inlineStr"/>
    </row>
    <row r="37">
      <c r="A37" t="n">
        <v>36</v>
      </c>
      <c r="B37" t="inlineStr">
        <is>
          <t>Airbus Southern Africa (Pty) Ltd</t>
        </is>
      </c>
      <c r="C37" t="inlineStr">
        <is>
          <t>Airbus Southern Africa (Pty) Ltd</t>
        </is>
      </c>
      <c r="D37" t="inlineStr"/>
      <c r="E37" t="inlineStr">
        <is>
          <t>Unspecified</t>
        </is>
      </c>
      <c r="F37" t="inlineStr"/>
      <c r="G37" t="inlineStr">
        <is>
          <t>Low</t>
        </is>
      </c>
      <c r="H37" t="inlineStr">
        <is>
          <t>Investigate</t>
        </is>
      </c>
      <c r="I37" t="inlineStr">
        <is>
          <t>1970-01-01</t>
        </is>
      </c>
      <c r="J37" t="inlineStr"/>
      <c r="K37" t="inlineStr"/>
    </row>
    <row r="38">
      <c r="A38" t="n">
        <v>37</v>
      </c>
      <c r="B38" t="inlineStr">
        <is>
          <t>AIRCRAFT FUSELAGE REPAIRS</t>
        </is>
      </c>
      <c r="C38" t="inlineStr">
        <is>
          <t>AIRCRAFT FUSELAGE REPAIRS</t>
        </is>
      </c>
      <c r="D38" t="inlineStr"/>
      <c r="E38" t="inlineStr">
        <is>
          <t>Unspecified</t>
        </is>
      </c>
      <c r="F38" t="inlineStr"/>
      <c r="G38" t="inlineStr">
        <is>
          <t>Low</t>
        </is>
      </c>
      <c r="H38" t="inlineStr">
        <is>
          <t>Investigate</t>
        </is>
      </c>
      <c r="I38" t="inlineStr">
        <is>
          <t>1970-01-01</t>
        </is>
      </c>
      <c r="J38" t="inlineStr"/>
      <c r="K38" t="inlineStr"/>
    </row>
    <row r="39">
      <c r="A39" t="n">
        <v>38</v>
      </c>
      <c r="B39" t="inlineStr">
        <is>
          <t>Aircraft Instruments CC</t>
        </is>
      </c>
      <c r="C39" t="inlineStr">
        <is>
          <t>Aircraft Instruments CC</t>
        </is>
      </c>
      <c r="D39" t="inlineStr"/>
      <c r="E39" t="inlineStr">
        <is>
          <t>Unspecified</t>
        </is>
      </c>
      <c r="F39" t="inlineStr"/>
      <c r="G39" t="inlineStr">
        <is>
          <t>Low</t>
        </is>
      </c>
      <c r="H39" t="inlineStr">
        <is>
          <t>Investigate</t>
        </is>
      </c>
      <c r="I39" t="inlineStr">
        <is>
          <t>1970-01-01</t>
        </is>
      </c>
      <c r="J39" t="inlineStr"/>
      <c r="K39" t="inlineStr"/>
    </row>
    <row r="40">
      <c r="A40" t="n">
        <v>39</v>
      </c>
      <c r="B40" t="inlineStr">
        <is>
          <t>Aircraft Maintenance @ work</t>
        </is>
      </c>
      <c r="C40" t="inlineStr">
        <is>
          <t>Aircraft Maintenance @ work</t>
        </is>
      </c>
      <c r="D40" t="inlineStr"/>
      <c r="E40" t="inlineStr">
        <is>
          <t>Unspecified</t>
        </is>
      </c>
      <c r="F40" t="inlineStr"/>
      <c r="G40" t="inlineStr">
        <is>
          <t>Low</t>
        </is>
      </c>
      <c r="H40" t="inlineStr">
        <is>
          <t>Investigate</t>
        </is>
      </c>
      <c r="I40" t="inlineStr">
        <is>
          <t>1970-01-01</t>
        </is>
      </c>
      <c r="J40" t="inlineStr"/>
      <c r="K40" t="inlineStr"/>
    </row>
    <row r="41">
      <c r="A41" t="n">
        <v>40</v>
      </c>
      <c r="B41" t="inlineStr">
        <is>
          <t>Aircraft Maintenance Personnel (Pty) Ltd</t>
        </is>
      </c>
      <c r="C41" t="inlineStr">
        <is>
          <t>Aircraft Maintenance Personnel (Pty) Ltd</t>
        </is>
      </c>
      <c r="D41" t="inlineStr"/>
      <c r="E41" t="inlineStr">
        <is>
          <t>Unspecified</t>
        </is>
      </c>
      <c r="F41" t="inlineStr"/>
      <c r="G41" t="inlineStr">
        <is>
          <t>Low</t>
        </is>
      </c>
      <c r="H41" t="inlineStr">
        <is>
          <t>Investigate</t>
        </is>
      </c>
      <c r="I41" t="inlineStr">
        <is>
          <t>1970-01-01</t>
        </is>
      </c>
      <c r="J41" t="inlineStr"/>
      <c r="K41" t="inlineStr"/>
    </row>
    <row r="42">
      <c r="A42" t="n">
        <v>41</v>
      </c>
      <c r="B42" t="inlineStr">
        <is>
          <t>Aircraft Powerplant Company (Pty) Ltd</t>
        </is>
      </c>
      <c r="C42" t="inlineStr">
        <is>
          <t>Aircraft Powerplant Company (Pty) Ltd</t>
        </is>
      </c>
      <c r="D42" t="inlineStr"/>
      <c r="E42" t="inlineStr">
        <is>
          <t>Unspecified</t>
        </is>
      </c>
      <c r="F42" t="inlineStr"/>
      <c r="G42" t="inlineStr">
        <is>
          <t>Low</t>
        </is>
      </c>
      <c r="H42" t="inlineStr">
        <is>
          <t>Investigate</t>
        </is>
      </c>
      <c r="I42" t="inlineStr">
        <is>
          <t>1970-01-01</t>
        </is>
      </c>
      <c r="J42" t="inlineStr"/>
      <c r="K42" t="inlineStr"/>
    </row>
    <row r="43">
      <c r="A43" t="n">
        <v>42</v>
      </c>
      <c r="B43" t="inlineStr">
        <is>
          <t>AIRCRAFT UNLIMITED</t>
        </is>
      </c>
      <c r="C43" t="inlineStr">
        <is>
          <t>AIRCRAFT UNLIMITED</t>
        </is>
      </c>
      <c r="D43" t="inlineStr"/>
      <c r="E43" t="inlineStr">
        <is>
          <t>Unspecified</t>
        </is>
      </c>
      <c r="F43" t="inlineStr"/>
      <c r="G43" t="inlineStr">
        <is>
          <t>Low</t>
        </is>
      </c>
      <c r="H43" t="inlineStr">
        <is>
          <t>Investigate</t>
        </is>
      </c>
      <c r="I43" t="inlineStr">
        <is>
          <t>1970-01-01</t>
        </is>
      </c>
      <c r="J43" t="inlineStr"/>
      <c r="K43" t="inlineStr"/>
    </row>
    <row r="44">
      <c r="A44" t="n">
        <v>43</v>
      </c>
      <c r="B44" t="inlineStr">
        <is>
          <t>Air-Tec Aviation Maintenance (Pty) Ltd</t>
        </is>
      </c>
      <c r="C44" t="inlineStr">
        <is>
          <t>Air tech bethlehem</t>
        </is>
      </c>
      <c r="D44" s="206" t="n">
        <v>41171</v>
      </c>
      <c r="E44" t="inlineStr">
        <is>
          <t>Unspecified</t>
        </is>
      </c>
      <c r="F44" t="inlineStr"/>
      <c r="G44" t="inlineStr">
        <is>
          <t>Low</t>
        </is>
      </c>
      <c r="H44" t="inlineStr">
        <is>
          <t>Investigate</t>
        </is>
      </c>
      <c r="I44" t="inlineStr">
        <is>
          <t>1970-01-01</t>
        </is>
      </c>
      <c r="J44" t="inlineStr"/>
      <c r="K44" t="inlineStr"/>
    </row>
    <row r="45">
      <c r="A45" t="n">
        <v>44</v>
      </c>
      <c r="B45" t="inlineStr">
        <is>
          <t>AIRVENTURES HOT AIR BALLOONING CC</t>
        </is>
      </c>
      <c r="C45" t="inlineStr">
        <is>
          <t>AIRVENTURES HOT AIR BALLOONING CC</t>
        </is>
      </c>
      <c r="D45" t="inlineStr"/>
      <c r="E45" t="inlineStr">
        <is>
          <t>Unspecified</t>
        </is>
      </c>
      <c r="F45" t="inlineStr"/>
      <c r="G45" t="inlineStr">
        <is>
          <t>Low</t>
        </is>
      </c>
      <c r="H45" t="inlineStr">
        <is>
          <t>Investigate</t>
        </is>
      </c>
      <c r="I45" t="inlineStr">
        <is>
          <t>1970-01-01</t>
        </is>
      </c>
      <c r="J45" t="inlineStr"/>
      <c r="K45" t="inlineStr">
        <is>
          <t>https://www.lowveldaircraft.co.za/contact_us.htm</t>
        </is>
      </c>
    </row>
    <row r="46">
      <c r="A46" t="n">
        <v>45</v>
      </c>
      <c r="B46" t="inlineStr">
        <is>
          <t>AIRWORK AFRICA</t>
        </is>
      </c>
      <c r="C46" t="inlineStr">
        <is>
          <t>AIRWORK AFRICA</t>
        </is>
      </c>
      <c r="D46" t="inlineStr"/>
      <c r="E46" t="inlineStr">
        <is>
          <t>Unspecified</t>
        </is>
      </c>
      <c r="F46" t="inlineStr"/>
      <c r="G46" t="inlineStr">
        <is>
          <t>Low</t>
        </is>
      </c>
      <c r="H46" t="inlineStr">
        <is>
          <t>Investigate</t>
        </is>
      </c>
      <c r="I46" t="inlineStr">
        <is>
          <t>1970-01-01</t>
        </is>
      </c>
      <c r="J46" t="inlineStr"/>
      <c r="K46" t="inlineStr"/>
    </row>
    <row r="47">
      <c r="A47" t="n">
        <v>46</v>
      </c>
      <c r="B47" t="inlineStr">
        <is>
          <t>Airwork Aviation Maintenance Division (Pty)
Ltd</t>
        </is>
      </c>
      <c r="C47" t="inlineStr">
        <is>
          <t>Airwork Aviation Maintenance Division (Pty)
Ltd</t>
        </is>
      </c>
      <c r="D47" t="inlineStr"/>
      <c r="E47" t="inlineStr">
        <is>
          <t>Unspecified</t>
        </is>
      </c>
      <c r="F47" t="inlineStr"/>
      <c r="G47" t="inlineStr">
        <is>
          <t>Low</t>
        </is>
      </c>
      <c r="H47" t="inlineStr">
        <is>
          <t>Investigate</t>
        </is>
      </c>
      <c r="I47" t="inlineStr">
        <is>
          <t>1970-01-01</t>
        </is>
      </c>
      <c r="J47" t="inlineStr"/>
      <c r="K47" t="inlineStr"/>
    </row>
    <row r="48">
      <c r="A48" t="n">
        <v>47</v>
      </c>
      <c r="B48" t="inlineStr">
        <is>
          <t>AIRWORK NEW ZEALAND/CONAKRY</t>
        </is>
      </c>
      <c r="C48" t="inlineStr">
        <is>
          <t>AIRWORK NEW ZEALAND/CONAKRY</t>
        </is>
      </c>
      <c r="D48" t="inlineStr"/>
      <c r="E48" t="inlineStr">
        <is>
          <t>Unspecified</t>
        </is>
      </c>
      <c r="F48" t="inlineStr"/>
      <c r="G48" t="inlineStr">
        <is>
          <t>Low</t>
        </is>
      </c>
      <c r="H48" t="inlineStr">
        <is>
          <t>Investigate</t>
        </is>
      </c>
      <c r="I48" t="inlineStr">
        <is>
          <t>1970-01-01</t>
        </is>
      </c>
      <c r="J48" t="inlineStr"/>
      <c r="K48" t="inlineStr"/>
    </row>
    <row r="49">
      <c r="A49" t="n">
        <v>48</v>
      </c>
      <c r="B49" t="inlineStr">
        <is>
          <t>Allianz Commercial</t>
        </is>
      </c>
      <c r="C49" t="inlineStr">
        <is>
          <t>Allianz Commercial</t>
        </is>
      </c>
      <c r="D49" t="inlineStr"/>
      <c r="E49" t="inlineStr">
        <is>
          <t>Insurance</t>
        </is>
      </c>
      <c r="F49" t="inlineStr">
        <is>
          <t>Approved Supplier</t>
        </is>
      </c>
      <c r="G49" t="inlineStr">
        <is>
          <t>Low</t>
        </is>
      </c>
      <c r="H49" t="inlineStr">
        <is>
          <t>Unknown</t>
        </is>
      </c>
      <c r="I49" t="inlineStr">
        <is>
          <t>1970-01-01</t>
        </is>
      </c>
      <c r="J49" t="inlineStr"/>
      <c r="K49" t="inlineStr"/>
    </row>
    <row r="50">
      <c r="A50" t="n">
        <v>49</v>
      </c>
      <c r="B50" t="inlineStr">
        <is>
          <t>ALR Flight Investments PTY (LTD)</t>
        </is>
      </c>
      <c r="C50" t="inlineStr">
        <is>
          <t>ALR FLIGHT INVESTMENT</t>
        </is>
      </c>
      <c r="D50" s="206" t="n">
        <v>45728</v>
      </c>
      <c r="E50" t="inlineStr">
        <is>
          <t>Unspecified</t>
        </is>
      </c>
      <c r="F50" t="inlineStr"/>
      <c r="G50" t="inlineStr">
        <is>
          <t>Low</t>
        </is>
      </c>
      <c r="H50" t="inlineStr">
        <is>
          <t>Investigate</t>
        </is>
      </c>
      <c r="I50" t="inlineStr">
        <is>
          <t>1970-01-01</t>
        </is>
      </c>
      <c r="J50" t="inlineStr"/>
      <c r="K50" t="inlineStr"/>
    </row>
    <row r="51">
      <c r="A51" t="n">
        <v>50</v>
      </c>
      <c r="B51" t="inlineStr">
        <is>
          <t>Alton Aero Engineering (Pty) Ltd</t>
        </is>
      </c>
      <c r="C51" t="inlineStr">
        <is>
          <t>Alton Aero Eng</t>
        </is>
      </c>
      <c r="D51" s="206" t="n">
        <v>45840</v>
      </c>
      <c r="E51" t="inlineStr">
        <is>
          <t>Unspecified</t>
        </is>
      </c>
      <c r="F51" t="inlineStr"/>
      <c r="G51" t="inlineStr">
        <is>
          <t>Low</t>
        </is>
      </c>
      <c r="H51" t="inlineStr">
        <is>
          <t>Investigate</t>
        </is>
      </c>
      <c r="I51" t="inlineStr">
        <is>
          <t>1970-01-01</t>
        </is>
      </c>
      <c r="J51" t="inlineStr"/>
      <c r="K51" t="inlineStr"/>
    </row>
    <row r="52">
      <c r="A52" t="n">
        <v>51</v>
      </c>
      <c r="B52" t="inlineStr">
        <is>
          <t>ALTON GROUP OF COMPANIES (VASLOSCENE)</t>
        </is>
      </c>
      <c r="C52" t="inlineStr">
        <is>
          <t>ALTON GROUP OF COMPANIES (VASLOSCENE)</t>
        </is>
      </c>
      <c r="D52" t="inlineStr"/>
      <c r="E52" t="inlineStr">
        <is>
          <t>Unspecified</t>
        </is>
      </c>
      <c r="F52" t="inlineStr"/>
      <c r="G52" t="inlineStr">
        <is>
          <t>Low</t>
        </is>
      </c>
      <c r="H52" t="inlineStr">
        <is>
          <t>Investigate</t>
        </is>
      </c>
      <c r="I52" t="inlineStr">
        <is>
          <t>1970-01-01</t>
        </is>
      </c>
      <c r="J52" t="inlineStr"/>
      <c r="K52" t="inlineStr"/>
    </row>
    <row r="53">
      <c r="A53" t="n">
        <v>52</v>
      </c>
      <c r="B53" t="inlineStr">
        <is>
          <t>AME Aviation</t>
        </is>
      </c>
      <c r="C53" t="inlineStr">
        <is>
          <t>AME Aviation</t>
        </is>
      </c>
      <c r="D53" t="inlineStr"/>
      <c r="E53" t="inlineStr">
        <is>
          <t>Unspecified</t>
        </is>
      </c>
      <c r="F53" t="inlineStr"/>
      <c r="G53" t="inlineStr">
        <is>
          <t>Low</t>
        </is>
      </c>
      <c r="H53" t="inlineStr">
        <is>
          <t>Investigate</t>
        </is>
      </c>
      <c r="I53" t="inlineStr">
        <is>
          <t>1970-01-01</t>
        </is>
      </c>
      <c r="J53" t="inlineStr"/>
      <c r="K53" t="inlineStr"/>
    </row>
    <row r="54">
      <c r="A54" t="n">
        <v>53</v>
      </c>
      <c r="B54" t="inlineStr">
        <is>
          <t>AMKA Aviation (PTY) Ltd</t>
        </is>
      </c>
      <c r="C54" t="inlineStr">
        <is>
          <t>AMKA Aviation (PTY) Ltd</t>
        </is>
      </c>
      <c r="D54" t="inlineStr"/>
      <c r="E54" t="inlineStr">
        <is>
          <t>Unspecified</t>
        </is>
      </c>
      <c r="F54" t="inlineStr"/>
      <c r="G54" t="inlineStr">
        <is>
          <t>Low</t>
        </is>
      </c>
      <c r="H54" t="inlineStr">
        <is>
          <t>Investigate</t>
        </is>
      </c>
      <c r="I54" t="inlineStr">
        <is>
          <t>1970-01-01</t>
        </is>
      </c>
      <c r="J54" t="inlineStr"/>
      <c r="K54" t="inlineStr"/>
    </row>
    <row r="55">
      <c r="A55" t="n">
        <v>54</v>
      </c>
      <c r="B55" t="inlineStr">
        <is>
          <t>Aon South Africa (Aviation Division)</t>
        </is>
      </c>
      <c r="C55" t="inlineStr">
        <is>
          <t>Aon South Africa (Aviation Division)</t>
        </is>
      </c>
      <c r="D55" t="inlineStr"/>
      <c r="E55" t="inlineStr">
        <is>
          <t>Brokers</t>
        </is>
      </c>
      <c r="F55" t="inlineStr">
        <is>
          <t>Approved Supplier</t>
        </is>
      </c>
      <c r="G55" t="inlineStr">
        <is>
          <t>Low</t>
        </is>
      </c>
      <c r="H55" t="inlineStr">
        <is>
          <t>Unknown</t>
        </is>
      </c>
      <c r="I55" t="inlineStr">
        <is>
          <t>1970-01-01</t>
        </is>
      </c>
      <c r="J55" t="inlineStr"/>
      <c r="K55" t="inlineStr"/>
    </row>
    <row r="56">
      <c r="A56" t="n">
        <v>55</v>
      </c>
      <c r="B56" t="inlineStr">
        <is>
          <t>Aquila Air Services</t>
        </is>
      </c>
      <c r="C56" t="inlineStr">
        <is>
          <t>Aquila Air Services</t>
        </is>
      </c>
      <c r="D56" t="inlineStr"/>
      <c r="E56" t="inlineStr">
        <is>
          <t>Unspecified</t>
        </is>
      </c>
      <c r="F56" t="inlineStr"/>
      <c r="G56" t="inlineStr">
        <is>
          <t>Low</t>
        </is>
      </c>
      <c r="H56" t="inlineStr">
        <is>
          <t>Investigate</t>
        </is>
      </c>
      <c r="I56" t="inlineStr">
        <is>
          <t>1970-01-01</t>
        </is>
      </c>
      <c r="J56" t="inlineStr"/>
      <c r="K56" t="inlineStr"/>
    </row>
    <row r="57">
      <c r="A57" t="n">
        <v>56</v>
      </c>
      <c r="B57" t="inlineStr">
        <is>
          <t>Arc Aviation (Aircraft Risk Company)</t>
        </is>
      </c>
      <c r="C57" t="inlineStr">
        <is>
          <t>Arc Aviation (Aircraft Risk Company)</t>
        </is>
      </c>
      <c r="D57" t="inlineStr"/>
      <c r="E57" t="inlineStr">
        <is>
          <t>Brokers</t>
        </is>
      </c>
      <c r="F57" t="inlineStr">
        <is>
          <t>Approved Supplier</t>
        </is>
      </c>
      <c r="G57" t="inlineStr">
        <is>
          <t>Medium</t>
        </is>
      </c>
      <c r="H57" t="inlineStr">
        <is>
          <t>Contacted - Email</t>
        </is>
      </c>
      <c r="I57" t="inlineStr">
        <is>
          <t>2025-07-15</t>
        </is>
      </c>
      <c r="J57" t="n">
        <v>1</v>
      </c>
      <c r="K57" t="inlineStr"/>
    </row>
    <row r="58">
      <c r="A58" t="n">
        <v>57</v>
      </c>
      <c r="B58" t="inlineStr">
        <is>
          <t>AREF Avionics</t>
        </is>
      </c>
      <c r="C58" t="inlineStr">
        <is>
          <t>AREF Avionics</t>
        </is>
      </c>
      <c r="D58" t="inlineStr"/>
      <c r="E58" t="inlineStr">
        <is>
          <t>Unspecified</t>
        </is>
      </c>
      <c r="F58" t="inlineStr"/>
      <c r="G58" t="inlineStr">
        <is>
          <t>Low</t>
        </is>
      </c>
      <c r="H58" t="inlineStr">
        <is>
          <t>Investigate</t>
        </is>
      </c>
      <c r="I58" t="inlineStr">
        <is>
          <t>1970-01-01</t>
        </is>
      </c>
      <c r="J58" t="inlineStr"/>
      <c r="K58" t="inlineStr"/>
    </row>
    <row r="59">
      <c r="A59" t="n">
        <v>58</v>
      </c>
      <c r="B59" t="inlineStr">
        <is>
          <t>Aspire Aviation (Former name Lanseria Jet
Centre)</t>
        </is>
      </c>
      <c r="C59" t="inlineStr">
        <is>
          <t>Aspire Aviation (Former name Lanseria Jet
Centre)</t>
        </is>
      </c>
      <c r="D59" t="inlineStr"/>
      <c r="E59" t="inlineStr">
        <is>
          <t>Unspecified</t>
        </is>
      </c>
      <c r="F59" t="inlineStr"/>
      <c r="G59" t="inlineStr">
        <is>
          <t>Low</t>
        </is>
      </c>
      <c r="H59" t="inlineStr">
        <is>
          <t>Investigate</t>
        </is>
      </c>
      <c r="I59" t="inlineStr">
        <is>
          <t>1970-01-01</t>
        </is>
      </c>
      <c r="J59" t="inlineStr"/>
      <c r="K59" t="inlineStr"/>
    </row>
    <row r="60">
      <c r="A60" t="n">
        <v>59</v>
      </c>
      <c r="B60" t="inlineStr">
        <is>
          <t>Astwood Aircraft Electrical CC</t>
        </is>
      </c>
      <c r="C60" t="inlineStr">
        <is>
          <t>Astwood Aircraft Electrical CC</t>
        </is>
      </c>
      <c r="D60" t="inlineStr"/>
      <c r="E60" t="inlineStr">
        <is>
          <t>Unspecified</t>
        </is>
      </c>
      <c r="F60" t="inlineStr"/>
      <c r="G60" t="inlineStr">
        <is>
          <t>Low</t>
        </is>
      </c>
      <c r="H60" t="inlineStr">
        <is>
          <t>Investigate</t>
        </is>
      </c>
      <c r="I60" t="inlineStr">
        <is>
          <t>1970-01-01</t>
        </is>
      </c>
      <c r="J60" t="inlineStr"/>
      <c r="K60" t="inlineStr"/>
    </row>
    <row r="61">
      <c r="A61" t="n">
        <v>60</v>
      </c>
      <c r="B61" t="inlineStr">
        <is>
          <t>Aves Technics</t>
        </is>
      </c>
      <c r="C61" t="inlineStr">
        <is>
          <t>Aves Technics</t>
        </is>
      </c>
      <c r="D61" t="inlineStr"/>
      <c r="E61" t="inlineStr">
        <is>
          <t>Unspecified</t>
        </is>
      </c>
      <c r="F61" t="inlineStr"/>
      <c r="G61" t="inlineStr">
        <is>
          <t>Low</t>
        </is>
      </c>
      <c r="H61" t="inlineStr">
        <is>
          <t>Investigate</t>
        </is>
      </c>
      <c r="I61" t="inlineStr">
        <is>
          <t>1970-01-01</t>
        </is>
      </c>
      <c r="J61" t="inlineStr"/>
      <c r="K61" t="inlineStr"/>
    </row>
    <row r="62">
      <c r="A62" t="n">
        <v>61</v>
      </c>
      <c r="B62" t="inlineStr">
        <is>
          <t>Avex Air Technical</t>
        </is>
      </c>
      <c r="C62" t="inlineStr">
        <is>
          <t>Avex Air Technical</t>
        </is>
      </c>
      <c r="D62" t="inlineStr"/>
      <c r="E62" t="inlineStr">
        <is>
          <t>Unspecified</t>
        </is>
      </c>
      <c r="F62" t="inlineStr"/>
      <c r="G62" t="inlineStr">
        <is>
          <t>Low</t>
        </is>
      </c>
      <c r="H62" t="inlineStr">
        <is>
          <t>Investigate</t>
        </is>
      </c>
      <c r="I62" t="inlineStr">
        <is>
          <t>1970-01-01</t>
        </is>
      </c>
      <c r="J62" t="inlineStr"/>
      <c r="K62" t="inlineStr"/>
    </row>
    <row r="63">
      <c r="A63" t="n">
        <v>62</v>
      </c>
      <c r="B63" t="inlineStr">
        <is>
          <t>Avia Instruments</t>
        </is>
      </c>
      <c r="C63" t="inlineStr">
        <is>
          <t>Avia Instruments</t>
        </is>
      </c>
      <c r="D63" t="inlineStr"/>
      <c r="E63" t="inlineStr">
        <is>
          <t>Unspecified</t>
        </is>
      </c>
      <c r="F63" t="inlineStr"/>
      <c r="G63" t="inlineStr">
        <is>
          <t>Low</t>
        </is>
      </c>
      <c r="H63" t="inlineStr">
        <is>
          <t>Investigate</t>
        </is>
      </c>
      <c r="I63" t="inlineStr">
        <is>
          <t>1970-01-01</t>
        </is>
      </c>
      <c r="J63" t="inlineStr"/>
      <c r="K63" t="inlineStr"/>
    </row>
    <row r="64">
      <c r="A64" t="n">
        <v>63</v>
      </c>
      <c r="B64" t="inlineStr">
        <is>
          <t>Aviation Dynamix</t>
        </is>
      </c>
      <c r="C64" t="inlineStr">
        <is>
          <t>Aviation Dynamix</t>
        </is>
      </c>
      <c r="D64" t="inlineStr"/>
      <c r="E64" t="inlineStr">
        <is>
          <t>Unspecified</t>
        </is>
      </c>
      <c r="F64" t="inlineStr"/>
      <c r="G64" t="inlineStr">
        <is>
          <t>Low</t>
        </is>
      </c>
      <c r="H64" t="inlineStr">
        <is>
          <t>Investigate</t>
        </is>
      </c>
      <c r="I64" t="inlineStr">
        <is>
          <t>1970-01-01</t>
        </is>
      </c>
      <c r="J64" t="inlineStr"/>
      <c r="K64" t="inlineStr">
        <is>
          <t>https://ferreiraaviation.co.za/contact/</t>
        </is>
      </c>
    </row>
    <row r="65">
      <c r="A65" t="n">
        <v>64</v>
      </c>
      <c r="B65" t="inlineStr">
        <is>
          <t>Aviation Rebuilders CC</t>
        </is>
      </c>
      <c r="C65" t="inlineStr">
        <is>
          <t>Aviation Rebuilders CC</t>
        </is>
      </c>
      <c r="D65" t="inlineStr"/>
      <c r="E65" t="inlineStr">
        <is>
          <t>Unspecified</t>
        </is>
      </c>
      <c r="F65" t="inlineStr"/>
      <c r="G65" t="inlineStr">
        <is>
          <t>Low</t>
        </is>
      </c>
      <c r="H65" t="inlineStr">
        <is>
          <t>Investigate</t>
        </is>
      </c>
      <c r="I65" t="inlineStr">
        <is>
          <t>1970-01-01</t>
        </is>
      </c>
      <c r="J65" t="inlineStr"/>
      <c r="K65" t="inlineStr"/>
    </row>
    <row r="66">
      <c r="A66" t="n">
        <v>65</v>
      </c>
      <c r="B66" t="inlineStr">
        <is>
          <t>Avisys Aviation System</t>
        </is>
      </c>
      <c r="C66" t="inlineStr">
        <is>
          <t>Avisys Aviation System</t>
        </is>
      </c>
      <c r="D66" t="inlineStr"/>
      <c r="E66" t="inlineStr">
        <is>
          <t>Unspecified</t>
        </is>
      </c>
      <c r="F66" t="inlineStr"/>
      <c r="G66" t="inlineStr">
        <is>
          <t>Low</t>
        </is>
      </c>
      <c r="H66" t="inlineStr">
        <is>
          <t>Investigate</t>
        </is>
      </c>
      <c r="I66" t="inlineStr">
        <is>
          <t>1970-01-01</t>
        </is>
      </c>
      <c r="J66" t="inlineStr"/>
      <c r="K66" t="inlineStr"/>
    </row>
    <row r="67">
      <c r="A67" t="n">
        <v>66</v>
      </c>
      <c r="B67" t="inlineStr">
        <is>
          <t>Avtech Aircraft Services CC</t>
        </is>
      </c>
      <c r="C67" t="inlineStr">
        <is>
          <t>Avtech Aircraft Services CC</t>
        </is>
      </c>
      <c r="D67" t="inlineStr"/>
      <c r="E67" t="inlineStr">
        <is>
          <t>Unspecified</t>
        </is>
      </c>
      <c r="F67" t="inlineStr"/>
      <c r="G67" t="inlineStr">
        <is>
          <t>Low</t>
        </is>
      </c>
      <c r="H67" t="inlineStr">
        <is>
          <t>Investigate</t>
        </is>
      </c>
      <c r="I67" t="inlineStr">
        <is>
          <t>1970-01-01</t>
        </is>
      </c>
      <c r="J67" t="inlineStr"/>
      <c r="K67" t="inlineStr"/>
    </row>
    <row r="68">
      <c r="A68" t="n">
        <v>67</v>
      </c>
      <c r="B68" t="inlineStr">
        <is>
          <t>Axella Aeronautical Engineering</t>
        </is>
      </c>
      <c r="C68" t="inlineStr">
        <is>
          <t>Axella Aeronautical Engineering</t>
        </is>
      </c>
      <c r="D68" t="inlineStr"/>
      <c r="E68" t="inlineStr">
        <is>
          <t>Unspecified</t>
        </is>
      </c>
      <c r="F68" t="inlineStr"/>
      <c r="G68" t="inlineStr">
        <is>
          <t>Low</t>
        </is>
      </c>
      <c r="H68" t="inlineStr">
        <is>
          <t>Investigate</t>
        </is>
      </c>
      <c r="I68" t="inlineStr">
        <is>
          <t>1970-01-01</t>
        </is>
      </c>
      <c r="J68" t="inlineStr"/>
      <c r="K68" t="inlineStr"/>
    </row>
    <row r="69">
      <c r="A69" t="n">
        <v>68</v>
      </c>
      <c r="B69" t="inlineStr">
        <is>
          <t>Azriel Aero</t>
        </is>
      </c>
      <c r="C69" t="inlineStr">
        <is>
          <t>Azriel Aero</t>
        </is>
      </c>
      <c r="D69" t="inlineStr"/>
      <c r="E69" t="inlineStr">
        <is>
          <t>Brokers</t>
        </is>
      </c>
      <c r="F69" t="inlineStr">
        <is>
          <t>Approved Supplier</t>
        </is>
      </c>
      <c r="G69" t="inlineStr">
        <is>
          <t>Low</t>
        </is>
      </c>
      <c r="H69" t="inlineStr">
        <is>
          <t>Unknown</t>
        </is>
      </c>
      <c r="I69" t="inlineStr">
        <is>
          <t>1970-01-01</t>
        </is>
      </c>
      <c r="J69" t="inlineStr"/>
      <c r="K69" t="inlineStr"/>
    </row>
    <row r="70">
      <c r="A70" t="n">
        <v>69</v>
      </c>
      <c r="B70" t="inlineStr">
        <is>
          <t>Azriel Aviation</t>
        </is>
      </c>
      <c r="C70" t="inlineStr">
        <is>
          <t>Azriel Aviation</t>
        </is>
      </c>
      <c r="D70" t="inlineStr"/>
      <c r="E70" t="inlineStr">
        <is>
          <t>Insurance</t>
        </is>
      </c>
      <c r="F70" t="inlineStr">
        <is>
          <t>Approved Supplier</t>
        </is>
      </c>
      <c r="G70" t="inlineStr">
        <is>
          <t>Low</t>
        </is>
      </c>
      <c r="H70" t="inlineStr">
        <is>
          <t>Unknown</t>
        </is>
      </c>
      <c r="I70" t="inlineStr">
        <is>
          <t>1970-01-01</t>
        </is>
      </c>
      <c r="J70" t="inlineStr"/>
      <c r="K70" t="inlineStr"/>
    </row>
    <row r="71">
      <c r="A71" t="n">
        <v>70</v>
      </c>
      <c r="B71" t="inlineStr">
        <is>
          <t>Aztec Electronics (Pty) Ltd</t>
        </is>
      </c>
      <c r="C71" t="inlineStr">
        <is>
          <t>Aztec Electronics (Pty) Ltd</t>
        </is>
      </c>
      <c r="D71" t="inlineStr"/>
      <c r="E71" t="inlineStr">
        <is>
          <t>Unspecified</t>
        </is>
      </c>
      <c r="F71" t="inlineStr"/>
      <c r="G71" t="inlineStr">
        <is>
          <t>Low</t>
        </is>
      </c>
      <c r="H71" t="inlineStr">
        <is>
          <t>Investigate</t>
        </is>
      </c>
      <c r="I71" t="inlineStr">
        <is>
          <t>1970-01-01</t>
        </is>
      </c>
      <c r="J71" t="inlineStr"/>
      <c r="K71" t="inlineStr"/>
    </row>
    <row r="72">
      <c r="A72" t="n">
        <v>71</v>
      </c>
      <c r="B72" t="inlineStr">
        <is>
          <t>BAC Aviation (Pty) Ltd</t>
        </is>
      </c>
      <c r="C72" t="inlineStr">
        <is>
          <t>BAC Aviation (Pty) Ltd</t>
        </is>
      </c>
      <c r="D72" t="inlineStr"/>
      <c r="E72" t="inlineStr">
        <is>
          <t>Unspecified</t>
        </is>
      </c>
      <c r="F72" t="inlineStr"/>
      <c r="G72" t="inlineStr">
        <is>
          <t>Low</t>
        </is>
      </c>
      <c r="H72" t="inlineStr">
        <is>
          <t>Investigate</t>
        </is>
      </c>
      <c r="I72" t="inlineStr">
        <is>
          <t>1970-01-01</t>
        </is>
      </c>
      <c r="J72" t="inlineStr"/>
      <c r="K72" t="inlineStr"/>
    </row>
    <row r="73">
      <c r="A73" t="n">
        <v>72</v>
      </c>
      <c r="B73" t="inlineStr">
        <is>
          <t>Balloon Workshop</t>
        </is>
      </c>
      <c r="C73" t="inlineStr">
        <is>
          <t>Balloon Workshop</t>
        </is>
      </c>
      <c r="D73" t="inlineStr"/>
      <c r="E73" t="inlineStr">
        <is>
          <t>Unspecified</t>
        </is>
      </c>
      <c r="F73" t="inlineStr"/>
      <c r="G73" t="inlineStr">
        <is>
          <t>Low</t>
        </is>
      </c>
      <c r="H73" t="inlineStr">
        <is>
          <t>Investigate</t>
        </is>
      </c>
      <c r="I73" t="inlineStr">
        <is>
          <t>1970-01-01</t>
        </is>
      </c>
      <c r="J73" t="inlineStr"/>
      <c r="K73" t="inlineStr"/>
    </row>
    <row r="74">
      <c r="A74" t="n">
        <v>73</v>
      </c>
      <c r="B74" t="inlineStr">
        <is>
          <t>Bay Aircraft Services</t>
        </is>
      </c>
      <c r="C74" t="inlineStr">
        <is>
          <t>Bay Aircraft Services</t>
        </is>
      </c>
      <c r="D74" t="inlineStr"/>
      <c r="E74" t="inlineStr">
        <is>
          <t>Unspecified</t>
        </is>
      </c>
      <c r="F74" t="inlineStr"/>
      <c r="G74" t="inlineStr">
        <is>
          <t>Low</t>
        </is>
      </c>
      <c r="H74" t="inlineStr">
        <is>
          <t>Investigate</t>
        </is>
      </c>
      <c r="I74" t="inlineStr">
        <is>
          <t>1970-01-01</t>
        </is>
      </c>
      <c r="J74" t="inlineStr"/>
      <c r="K74" t="inlineStr"/>
    </row>
    <row r="75">
      <c r="A75" t="n">
        <v>74</v>
      </c>
      <c r="B75" t="inlineStr">
        <is>
          <t>Bedek Aviation Group</t>
        </is>
      </c>
      <c r="C75" t="inlineStr">
        <is>
          <t>Bedek Aviation Group</t>
        </is>
      </c>
      <c r="D75" t="inlineStr"/>
      <c r="E75" t="inlineStr">
        <is>
          <t>Unspecified</t>
        </is>
      </c>
      <c r="F75" t="inlineStr"/>
      <c r="G75" t="inlineStr">
        <is>
          <t>Low</t>
        </is>
      </c>
      <c r="H75" t="inlineStr">
        <is>
          <t>Investigate</t>
        </is>
      </c>
      <c r="I75" t="inlineStr">
        <is>
          <t>1970-01-01</t>
        </is>
      </c>
      <c r="J75" t="inlineStr"/>
      <c r="K75" t="inlineStr"/>
    </row>
    <row r="76">
      <c r="A76" t="n">
        <v>75</v>
      </c>
      <c r="B76" t="inlineStr">
        <is>
          <t>Bedshemesh</t>
        </is>
      </c>
      <c r="C76" t="inlineStr">
        <is>
          <t>Bedshemesh</t>
        </is>
      </c>
      <c r="D76" t="inlineStr"/>
      <c r="E76" t="inlineStr">
        <is>
          <t>Unspecified</t>
        </is>
      </c>
      <c r="F76" t="inlineStr"/>
      <c r="G76" t="inlineStr">
        <is>
          <t>Low</t>
        </is>
      </c>
      <c r="H76" t="inlineStr">
        <is>
          <t>Investigate</t>
        </is>
      </c>
      <c r="I76" t="inlineStr">
        <is>
          <t>1970-01-01</t>
        </is>
      </c>
      <c r="J76" t="inlineStr"/>
      <c r="K76" t="inlineStr"/>
    </row>
    <row r="77">
      <c r="A77" t="n">
        <v>76</v>
      </c>
      <c r="B77" t="inlineStr">
        <is>
          <t>BHAKARI AVIATION SERVICES</t>
        </is>
      </c>
      <c r="C77" t="inlineStr">
        <is>
          <t>BHAKARI AVIATION SERVICES</t>
        </is>
      </c>
      <c r="D77" t="inlineStr"/>
      <c r="E77" t="inlineStr">
        <is>
          <t>Unspecified</t>
        </is>
      </c>
      <c r="F77" t="inlineStr"/>
      <c r="G77" t="inlineStr">
        <is>
          <t>Low</t>
        </is>
      </c>
      <c r="H77" t="inlineStr">
        <is>
          <t>Investigate</t>
        </is>
      </c>
      <c r="I77" t="inlineStr">
        <is>
          <t>1970-01-01</t>
        </is>
      </c>
      <c r="J77" t="inlineStr"/>
      <c r="K77" t="inlineStr"/>
    </row>
    <row r="78">
      <c r="A78" t="n">
        <v>77</v>
      </c>
      <c r="B78" t="inlineStr">
        <is>
          <t>Blue Bird Aviation</t>
        </is>
      </c>
      <c r="C78" t="inlineStr">
        <is>
          <t>Blue Bird Aviation</t>
        </is>
      </c>
      <c r="D78" t="inlineStr"/>
      <c r="E78" t="inlineStr">
        <is>
          <t>Unspecified</t>
        </is>
      </c>
      <c r="F78" t="inlineStr"/>
      <c r="G78" t="inlineStr">
        <is>
          <t>Low</t>
        </is>
      </c>
      <c r="H78" t="inlineStr">
        <is>
          <t>Investigate</t>
        </is>
      </c>
      <c r="I78" t="inlineStr">
        <is>
          <t>1970-01-01</t>
        </is>
      </c>
      <c r="J78" t="inlineStr"/>
      <c r="K78" t="inlineStr"/>
    </row>
    <row r="79">
      <c r="A79" t="n">
        <v>78</v>
      </c>
      <c r="B79" t="inlineStr">
        <is>
          <t>BNT International (Pty) LTD</t>
        </is>
      </c>
      <c r="C79" t="inlineStr">
        <is>
          <t>BNT International (Pty) LTD</t>
        </is>
      </c>
      <c r="D79" t="inlineStr"/>
      <c r="E79" t="inlineStr">
        <is>
          <t>Unspecified</t>
        </is>
      </c>
      <c r="F79" t="inlineStr"/>
      <c r="G79" t="inlineStr">
        <is>
          <t>Low</t>
        </is>
      </c>
      <c r="H79" t="inlineStr">
        <is>
          <t>Investigate</t>
        </is>
      </c>
      <c r="I79" t="inlineStr">
        <is>
          <t>1970-01-01</t>
        </is>
      </c>
      <c r="J79" t="inlineStr"/>
      <c r="K79" t="inlineStr"/>
    </row>
    <row r="80">
      <c r="A80" t="n">
        <v>79</v>
      </c>
      <c r="B80" t="inlineStr">
        <is>
          <t>Bombardier Services (UK) Ltd</t>
        </is>
      </c>
      <c r="C80" t="inlineStr">
        <is>
          <t>Bombardier Services (UK) Ltd</t>
        </is>
      </c>
      <c r="D80" t="inlineStr"/>
      <c r="E80" t="inlineStr">
        <is>
          <t>Unspecified</t>
        </is>
      </c>
      <c r="F80" t="inlineStr"/>
      <c r="G80" t="inlineStr">
        <is>
          <t>Low</t>
        </is>
      </c>
      <c r="H80" t="inlineStr">
        <is>
          <t>Investigate</t>
        </is>
      </c>
      <c r="I80" t="inlineStr">
        <is>
          <t>1970-01-01</t>
        </is>
      </c>
      <c r="J80" t="inlineStr"/>
      <c r="K80" t="inlineStr"/>
    </row>
    <row r="81">
      <c r="A81" t="n">
        <v>80</v>
      </c>
      <c r="B81" t="inlineStr">
        <is>
          <t>Breytech Aviation cc</t>
        </is>
      </c>
      <c r="C81" t="inlineStr">
        <is>
          <t>Breytech Aviation cc</t>
        </is>
      </c>
      <c r="D81" t="inlineStr"/>
      <c r="E81" t="inlineStr">
        <is>
          <t>Unspecified</t>
        </is>
      </c>
      <c r="F81" t="inlineStr"/>
      <c r="G81" t="inlineStr">
        <is>
          <t>Low</t>
        </is>
      </c>
      <c r="H81" t="inlineStr">
        <is>
          <t>Investigate</t>
        </is>
      </c>
      <c r="I81" t="inlineStr">
        <is>
          <t>1970-01-01</t>
        </is>
      </c>
      <c r="J81" t="inlineStr"/>
      <c r="K81" t="inlineStr"/>
    </row>
    <row r="82">
      <c r="A82" t="n">
        <v>81</v>
      </c>
      <c r="B82" t="inlineStr">
        <is>
          <t>British Airways Engineering</t>
        </is>
      </c>
      <c r="C82" t="inlineStr">
        <is>
          <t>British Airways Engineering</t>
        </is>
      </c>
      <c r="D82" t="inlineStr"/>
      <c r="E82" t="inlineStr">
        <is>
          <t>Unspecified</t>
        </is>
      </c>
      <c r="F82" t="inlineStr"/>
      <c r="G82" t="inlineStr">
        <is>
          <t>Low</t>
        </is>
      </c>
      <c r="H82" t="inlineStr">
        <is>
          <t>Investigate</t>
        </is>
      </c>
      <c r="I82" t="inlineStr">
        <is>
          <t>1970-01-01</t>
        </is>
      </c>
      <c r="J82" t="inlineStr"/>
      <c r="K82" t="inlineStr"/>
    </row>
    <row r="83">
      <c r="A83" t="n">
        <v>82</v>
      </c>
      <c r="B83" t="inlineStr">
        <is>
          <t>Bryte Insurance (Zurich SA)</t>
        </is>
      </c>
      <c r="C83" t="inlineStr">
        <is>
          <t>Bryte Insurance (Zurich SA)</t>
        </is>
      </c>
      <c r="D83" t="inlineStr"/>
      <c r="E83" t="inlineStr">
        <is>
          <t>Insurance</t>
        </is>
      </c>
      <c r="F83" t="inlineStr">
        <is>
          <t>Approved Supplier</t>
        </is>
      </c>
      <c r="G83" t="inlineStr">
        <is>
          <t>Low</t>
        </is>
      </c>
      <c r="H83" t="inlineStr">
        <is>
          <t>Unknown</t>
        </is>
      </c>
      <c r="I83" t="inlineStr">
        <is>
          <t>1970-01-01</t>
        </is>
      </c>
      <c r="J83" t="inlineStr"/>
      <c r="K83" t="inlineStr"/>
    </row>
    <row r="84">
      <c r="A84" t="n">
        <v>83</v>
      </c>
      <c r="B84" t="inlineStr">
        <is>
          <t>Buck Rogers Aviation</t>
        </is>
      </c>
      <c r="C84" t="inlineStr">
        <is>
          <t>Buck Rogers Aviation</t>
        </is>
      </c>
      <c r="D84" t="inlineStr"/>
      <c r="E84" t="inlineStr">
        <is>
          <t>Unspecified</t>
        </is>
      </c>
      <c r="F84" t="inlineStr"/>
      <c r="G84" t="inlineStr">
        <is>
          <t>Low</t>
        </is>
      </c>
      <c r="H84" t="inlineStr">
        <is>
          <t>Investigate</t>
        </is>
      </c>
      <c r="I84" t="inlineStr">
        <is>
          <t>1970-01-01</t>
        </is>
      </c>
      <c r="J84" t="inlineStr"/>
      <c r="K84" t="inlineStr"/>
    </row>
    <row r="85">
      <c r="A85" t="n">
        <v>84</v>
      </c>
      <c r="B85" t="inlineStr">
        <is>
          <t>Cape Aircraft Interiors</t>
        </is>
      </c>
      <c r="C85" t="inlineStr">
        <is>
          <t>Cape Aircraft Interiors</t>
        </is>
      </c>
      <c r="D85" t="inlineStr"/>
      <c r="E85" t="inlineStr">
        <is>
          <t>Unspecified</t>
        </is>
      </c>
      <c r="F85" t="inlineStr"/>
      <c r="G85" t="inlineStr">
        <is>
          <t>Low</t>
        </is>
      </c>
      <c r="H85" t="inlineStr">
        <is>
          <t>Investigate</t>
        </is>
      </c>
      <c r="I85" t="inlineStr">
        <is>
          <t>1970-01-01</t>
        </is>
      </c>
      <c r="J85" t="inlineStr"/>
      <c r="K85" t="inlineStr"/>
    </row>
    <row r="86">
      <c r="A86" t="n">
        <v>85</v>
      </c>
      <c r="B86" t="inlineStr">
        <is>
          <t>Capital Air (Pty) Ltd</t>
        </is>
      </c>
      <c r="C86" t="inlineStr">
        <is>
          <t>capital air</t>
        </is>
      </c>
      <c r="D86" s="206" t="n">
        <v>45853</v>
      </c>
      <c r="E86" t="inlineStr">
        <is>
          <t>Unspecified</t>
        </is>
      </c>
      <c r="F86" t="inlineStr"/>
      <c r="G86" t="inlineStr">
        <is>
          <t>Low</t>
        </is>
      </c>
      <c r="H86" t="inlineStr">
        <is>
          <t>Last Order</t>
        </is>
      </c>
      <c r="I86" t="inlineStr">
        <is>
          <t>2025-07-15</t>
        </is>
      </c>
      <c r="J86" t="inlineStr"/>
      <c r="K86" t="inlineStr"/>
    </row>
    <row r="87">
      <c r="A87" t="n">
        <v>86</v>
      </c>
      <c r="B87" t="inlineStr">
        <is>
          <t>Cathay Pacific</t>
        </is>
      </c>
      <c r="C87" t="inlineStr">
        <is>
          <t>Cathay Pacific</t>
        </is>
      </c>
      <c r="D87" t="inlineStr"/>
      <c r="E87" t="inlineStr">
        <is>
          <t>Unspecified</t>
        </is>
      </c>
      <c r="F87" t="inlineStr"/>
      <c r="G87" t="inlineStr">
        <is>
          <t>Low</t>
        </is>
      </c>
      <c r="H87" t="inlineStr">
        <is>
          <t>Investigate</t>
        </is>
      </c>
      <c r="I87" t="inlineStr">
        <is>
          <t>1970-01-01</t>
        </is>
      </c>
      <c r="J87" t="inlineStr"/>
      <c r="K87" t="inlineStr"/>
    </row>
    <row r="88">
      <c r="A88" t="n">
        <v>87</v>
      </c>
      <c r="B88" t="inlineStr">
        <is>
          <t>CEMAIR (PTY) LTD</t>
        </is>
      </c>
      <c r="C88" t="inlineStr">
        <is>
          <t>CEMAIR (PTY) LTD</t>
        </is>
      </c>
      <c r="D88" t="inlineStr"/>
      <c r="E88" t="inlineStr">
        <is>
          <t>Unspecified</t>
        </is>
      </c>
      <c r="F88" t="inlineStr"/>
      <c r="G88" t="inlineStr">
        <is>
          <t>Low</t>
        </is>
      </c>
      <c r="H88" t="inlineStr">
        <is>
          <t>Investigate</t>
        </is>
      </c>
      <c r="I88" t="inlineStr">
        <is>
          <t>1970-01-01</t>
        </is>
      </c>
      <c r="J88" t="inlineStr"/>
      <c r="K88" t="inlineStr"/>
    </row>
    <row r="89">
      <c r="A89" t="n">
        <v>88</v>
      </c>
      <c r="B89" t="inlineStr">
        <is>
          <t>Cemys Aircraft Structures Repairs</t>
        </is>
      </c>
      <c r="C89" t="inlineStr">
        <is>
          <t>Cemys Aircraft Structures Repairs</t>
        </is>
      </c>
      <c r="D89" t="inlineStr"/>
      <c r="E89" t="inlineStr">
        <is>
          <t>Unspecified</t>
        </is>
      </c>
      <c r="F89" t="inlineStr"/>
      <c r="G89" t="inlineStr">
        <is>
          <t>Low</t>
        </is>
      </c>
      <c r="H89" t="inlineStr">
        <is>
          <t>Investigate</t>
        </is>
      </c>
      <c r="I89" t="inlineStr">
        <is>
          <t>1970-01-01</t>
        </is>
      </c>
      <c r="J89" t="inlineStr"/>
      <c r="K89" t="inlineStr"/>
    </row>
    <row r="90">
      <c r="A90" t="n">
        <v>89</v>
      </c>
      <c r="B90" t="inlineStr">
        <is>
          <t>Century Avionics CC</t>
        </is>
      </c>
      <c r="C90" t="inlineStr">
        <is>
          <t>Century Avionics CC</t>
        </is>
      </c>
      <c r="D90" t="inlineStr"/>
      <c r="E90" t="inlineStr">
        <is>
          <t>Unspecified</t>
        </is>
      </c>
      <c r="F90" t="inlineStr"/>
      <c r="G90" t="inlineStr">
        <is>
          <t>Low</t>
        </is>
      </c>
      <c r="H90" t="inlineStr">
        <is>
          <t>Investigate</t>
        </is>
      </c>
      <c r="I90" t="inlineStr">
        <is>
          <t>1970-01-01</t>
        </is>
      </c>
      <c r="J90" t="inlineStr"/>
      <c r="K90" t="inlineStr"/>
    </row>
    <row r="91">
      <c r="A91" t="n">
        <v>90</v>
      </c>
      <c r="B91" t="inlineStr">
        <is>
          <t>CIRRUS Africa</t>
        </is>
      </c>
      <c r="C91" t="inlineStr">
        <is>
          <t>CIRRUS Africa</t>
        </is>
      </c>
      <c r="D91" t="inlineStr"/>
      <c r="E91" t="inlineStr">
        <is>
          <t>Unspecified</t>
        </is>
      </c>
      <c r="F91" t="inlineStr"/>
      <c r="G91" t="inlineStr">
        <is>
          <t>Low</t>
        </is>
      </c>
      <c r="H91" t="inlineStr">
        <is>
          <t>Investigate</t>
        </is>
      </c>
      <c r="I91" t="inlineStr">
        <is>
          <t>1970-01-01</t>
        </is>
      </c>
      <c r="J91" t="inlineStr"/>
      <c r="K91" t="inlineStr"/>
    </row>
    <row r="92">
      <c r="A92" t="n">
        <v>91</v>
      </c>
      <c r="B92" t="inlineStr">
        <is>
          <t>Clack Air CC</t>
        </is>
      </c>
      <c r="C92" t="inlineStr">
        <is>
          <t>Clack Air CC</t>
        </is>
      </c>
      <c r="D92" t="inlineStr"/>
      <c r="E92" t="inlineStr">
        <is>
          <t>Unspecified</t>
        </is>
      </c>
      <c r="F92" t="inlineStr"/>
      <c r="G92" t="inlineStr">
        <is>
          <t>Low</t>
        </is>
      </c>
      <c r="H92" t="inlineStr">
        <is>
          <t>Investigate</t>
        </is>
      </c>
      <c r="I92" t="inlineStr">
        <is>
          <t>1970-01-01</t>
        </is>
      </c>
      <c r="J92" t="inlineStr"/>
      <c r="K92" t="inlineStr"/>
    </row>
    <row r="93">
      <c r="A93" t="n">
        <v>92</v>
      </c>
      <c r="B93" t="inlineStr">
        <is>
          <t>Clifton Electronics CC</t>
        </is>
      </c>
      <c r="C93" t="inlineStr">
        <is>
          <t>Clifton Electronics CC</t>
        </is>
      </c>
      <c r="D93" t="inlineStr"/>
      <c r="E93" t="inlineStr">
        <is>
          <t>Unspecified</t>
        </is>
      </c>
      <c r="F93" t="inlineStr"/>
      <c r="G93" t="inlineStr">
        <is>
          <t>Low</t>
        </is>
      </c>
      <c r="H93" t="inlineStr">
        <is>
          <t>Investigate</t>
        </is>
      </c>
      <c r="I93" t="inlineStr">
        <is>
          <t>1970-01-01</t>
        </is>
      </c>
      <c r="J93" t="inlineStr"/>
      <c r="K93" t="inlineStr"/>
    </row>
    <row r="94">
      <c r="A94" t="n">
        <v>93</v>
      </c>
      <c r="B94" t="inlineStr">
        <is>
          <t>COMAIR LIMITED</t>
        </is>
      </c>
      <c r="C94" t="inlineStr">
        <is>
          <t>COMAIR LIMITED</t>
        </is>
      </c>
      <c r="D94" t="inlineStr"/>
      <c r="E94" t="inlineStr">
        <is>
          <t>Unspecified</t>
        </is>
      </c>
      <c r="F94" t="inlineStr"/>
      <c r="G94" t="inlineStr">
        <is>
          <t>Low</t>
        </is>
      </c>
      <c r="H94" t="inlineStr">
        <is>
          <t>Investigate</t>
        </is>
      </c>
      <c r="I94" t="inlineStr">
        <is>
          <t>1970-01-01</t>
        </is>
      </c>
      <c r="J94" t="inlineStr"/>
      <c r="K94" t="inlineStr"/>
    </row>
    <row r="95">
      <c r="A95" t="n">
        <v>94</v>
      </c>
      <c r="B95" t="inlineStr">
        <is>
          <t>Constantia Insurance</t>
        </is>
      </c>
      <c r="C95" t="inlineStr">
        <is>
          <t>Constantia Insurance</t>
        </is>
      </c>
      <c r="D95" t="inlineStr"/>
      <c r="E95" t="inlineStr">
        <is>
          <t>Underwriter</t>
        </is>
      </c>
      <c r="F95" t="inlineStr">
        <is>
          <t>Approved Supplier</t>
        </is>
      </c>
      <c r="G95" t="inlineStr">
        <is>
          <t>Low</t>
        </is>
      </c>
      <c r="H95" t="inlineStr">
        <is>
          <t>Unknown</t>
        </is>
      </c>
      <c r="I95" t="inlineStr">
        <is>
          <t>1970-01-01</t>
        </is>
      </c>
      <c r="J95" t="inlineStr"/>
      <c r="K95" t="inlineStr"/>
    </row>
    <row r="96">
      <c r="A96" t="n">
        <v>95</v>
      </c>
      <c r="B96" t="inlineStr">
        <is>
          <t>Covington Aircraft Services</t>
        </is>
      </c>
      <c r="C96" t="inlineStr">
        <is>
          <t>Covington Aircraft Services</t>
        </is>
      </c>
      <c r="D96" t="inlineStr"/>
      <c r="E96" t="inlineStr">
        <is>
          <t>Unspecified</t>
        </is>
      </c>
      <c r="F96" t="inlineStr"/>
      <c r="G96" t="inlineStr">
        <is>
          <t>Low</t>
        </is>
      </c>
      <c r="H96" t="inlineStr">
        <is>
          <t>Investigate</t>
        </is>
      </c>
      <c r="I96" t="inlineStr">
        <is>
          <t>1970-01-01</t>
        </is>
      </c>
      <c r="J96" t="inlineStr"/>
      <c r="K96" t="inlineStr"/>
    </row>
    <row r="97">
      <c r="A97" t="n">
        <v>96</v>
      </c>
      <c r="B97" t="inlineStr">
        <is>
          <t>Cronos Airlines International (Pty) LTD</t>
        </is>
      </c>
      <c r="C97" t="inlineStr">
        <is>
          <t>Cronos Airlines International (Pty) LTD</t>
        </is>
      </c>
      <c r="D97" t="inlineStr"/>
      <c r="E97" t="inlineStr">
        <is>
          <t>Unspecified</t>
        </is>
      </c>
      <c r="F97" t="inlineStr"/>
      <c r="G97" t="inlineStr">
        <is>
          <t>Low</t>
        </is>
      </c>
      <c r="H97" t="inlineStr">
        <is>
          <t>Investigate</t>
        </is>
      </c>
      <c r="I97" t="inlineStr">
        <is>
          <t>1970-01-01</t>
        </is>
      </c>
      <c r="J97" t="inlineStr"/>
      <c r="K97" t="inlineStr"/>
    </row>
    <row r="98">
      <c r="A98" t="n">
        <v>97</v>
      </c>
      <c r="B98" t="inlineStr">
        <is>
          <t>Dart Aeronautical (Pty) Ltd</t>
        </is>
      </c>
      <c r="C98" t="inlineStr">
        <is>
          <t>Dart Aeronautical (Pty) Ltd</t>
        </is>
      </c>
      <c r="D98" t="inlineStr"/>
      <c r="E98" t="inlineStr">
        <is>
          <t>Unspecified</t>
        </is>
      </c>
      <c r="F98" t="inlineStr"/>
      <c r="G98" t="inlineStr">
        <is>
          <t>Low</t>
        </is>
      </c>
      <c r="H98" t="inlineStr">
        <is>
          <t>Investigate</t>
        </is>
      </c>
      <c r="I98" t="inlineStr">
        <is>
          <t>1970-01-01</t>
        </is>
      </c>
      <c r="J98" t="inlineStr"/>
      <c r="K98" t="inlineStr"/>
    </row>
    <row r="99">
      <c r="A99" t="n">
        <v>98</v>
      </c>
      <c r="B99" t="inlineStr">
        <is>
          <t>Dart Aircraft Electrical</t>
        </is>
      </c>
      <c r="C99" t="inlineStr">
        <is>
          <t>Dart Aircraft Electrical</t>
        </is>
      </c>
      <c r="D99" t="inlineStr"/>
      <c r="E99" t="inlineStr">
        <is>
          <t>Unspecified</t>
        </is>
      </c>
      <c r="F99" t="inlineStr"/>
      <c r="G99" t="inlineStr">
        <is>
          <t>Low</t>
        </is>
      </c>
      <c r="H99" t="inlineStr">
        <is>
          <t>Investigate</t>
        </is>
      </c>
      <c r="I99" t="inlineStr">
        <is>
          <t>1970-01-01</t>
        </is>
      </c>
      <c r="J99" t="inlineStr"/>
      <c r="K99" t="inlineStr"/>
    </row>
    <row r="100">
      <c r="A100" t="n">
        <v>99</v>
      </c>
      <c r="B100" t="inlineStr">
        <is>
          <t>Dassault Falcon  Service</t>
        </is>
      </c>
      <c r="C100" t="inlineStr">
        <is>
          <t>Dassault Falcon  Service</t>
        </is>
      </c>
      <c r="D100" t="inlineStr"/>
      <c r="E100" t="inlineStr">
        <is>
          <t>Unspecified</t>
        </is>
      </c>
      <c r="F100" t="inlineStr"/>
      <c r="G100" t="inlineStr">
        <is>
          <t>Low</t>
        </is>
      </c>
      <c r="H100" t="inlineStr">
        <is>
          <t>Investigate</t>
        </is>
      </c>
      <c r="I100" t="inlineStr">
        <is>
          <t>1970-01-01</t>
        </is>
      </c>
      <c r="J100" t="inlineStr"/>
      <c r="K100" t="inlineStr"/>
    </row>
    <row r="101">
      <c r="A101" t="n">
        <v>100</v>
      </c>
      <c r="B101" t="inlineStr">
        <is>
          <t>Denel Aeronautics</t>
        </is>
      </c>
      <c r="C101" t="inlineStr">
        <is>
          <t>Denel Aviation</t>
        </is>
      </c>
      <c r="D101" s="206" t="n">
        <v>37316</v>
      </c>
      <c r="E101" t="inlineStr">
        <is>
          <t>Unspecified</t>
        </is>
      </c>
      <c r="F101" t="inlineStr"/>
      <c r="G101" t="inlineStr">
        <is>
          <t>Low</t>
        </is>
      </c>
      <c r="H101" t="inlineStr">
        <is>
          <t>Investigate</t>
        </is>
      </c>
      <c r="I101" t="inlineStr">
        <is>
          <t>1970-01-01</t>
        </is>
      </c>
      <c r="J101" t="inlineStr"/>
      <c r="K101" t="inlineStr"/>
    </row>
    <row r="102">
      <c r="A102" t="n">
        <v>101</v>
      </c>
      <c r="B102" t="inlineStr">
        <is>
          <t>Dentec Avionics ( Amended from Complete Avionics Systems (PTY) LTD)</t>
        </is>
      </c>
      <c r="C102" t="inlineStr">
        <is>
          <t>Dentec Avionics ( Amended from Complete Avionics Systems (PTY) LTD)</t>
        </is>
      </c>
      <c r="D102" t="inlineStr"/>
      <c r="E102" t="inlineStr">
        <is>
          <t>Unspecified</t>
        </is>
      </c>
      <c r="F102" t="inlineStr"/>
      <c r="G102" t="inlineStr">
        <is>
          <t>Low</t>
        </is>
      </c>
      <c r="H102" t="inlineStr">
        <is>
          <t>Investigate</t>
        </is>
      </c>
      <c r="I102" t="inlineStr">
        <is>
          <t>1970-01-01</t>
        </is>
      </c>
      <c r="J102" t="inlineStr"/>
      <c r="K102" t="inlineStr"/>
    </row>
    <row r="103">
      <c r="A103" t="n">
        <v>102</v>
      </c>
      <c r="B103" t="inlineStr">
        <is>
          <t>Diepkloof Aircraft Maintenance (Highveld
Aircraft Maintenance t/a)</t>
        </is>
      </c>
      <c r="C103" t="inlineStr">
        <is>
          <t>Diepkloof Aircraft Maintenance (Highveld
Aircraft Maintenance t/a)</t>
        </is>
      </c>
      <c r="D103" t="inlineStr"/>
      <c r="E103" t="inlineStr">
        <is>
          <t>Unspecified</t>
        </is>
      </c>
      <c r="F103" t="inlineStr"/>
      <c r="G103" t="inlineStr">
        <is>
          <t>Low</t>
        </is>
      </c>
      <c r="H103" t="inlineStr">
        <is>
          <t>Investigate</t>
        </is>
      </c>
      <c r="I103" t="inlineStr">
        <is>
          <t>1970-01-01</t>
        </is>
      </c>
      <c r="J103" t="inlineStr"/>
      <c r="K103" t="inlineStr"/>
    </row>
    <row r="104">
      <c r="A104" t="n">
        <v>103</v>
      </c>
      <c r="B104" t="inlineStr">
        <is>
          <t>DJA Aviation (Dennis Jankelow &amp; Associates)</t>
        </is>
      </c>
      <c r="C104" t="inlineStr">
        <is>
          <t>DJA Aviation (Dennis Jankelow &amp; Associates)</t>
        </is>
      </c>
      <c r="D104" t="inlineStr"/>
      <c r="E104" t="inlineStr">
        <is>
          <t>Brokers</t>
        </is>
      </c>
      <c r="F104" t="inlineStr">
        <is>
          <t>Approved Supplier</t>
        </is>
      </c>
      <c r="G104" t="inlineStr">
        <is>
          <t>Low</t>
        </is>
      </c>
      <c r="H104" t="inlineStr">
        <is>
          <t>Unknown</t>
        </is>
      </c>
      <c r="I104" t="inlineStr">
        <is>
          <t>1970-01-01</t>
        </is>
      </c>
      <c r="J104" t="inlineStr"/>
      <c r="K104" t="inlineStr"/>
    </row>
    <row r="105">
      <c r="A105" t="n">
        <v>104</v>
      </c>
      <c r="B105" t="inlineStr">
        <is>
          <t>Douglas Aviation (Pty) LTD</t>
        </is>
      </c>
      <c r="C105" t="inlineStr">
        <is>
          <t>Douglas Aviation (Pty) LTD</t>
        </is>
      </c>
      <c r="D105" t="inlineStr"/>
      <c r="E105" t="inlineStr">
        <is>
          <t>Unspecified</t>
        </is>
      </c>
      <c r="F105" t="inlineStr"/>
      <c r="G105" t="inlineStr">
        <is>
          <t>Low</t>
        </is>
      </c>
      <c r="H105" t="inlineStr">
        <is>
          <t>Investigate</t>
        </is>
      </c>
      <c r="I105" t="inlineStr">
        <is>
          <t>1970-01-01</t>
        </is>
      </c>
      <c r="J105" t="inlineStr"/>
      <c r="K105" t="inlineStr"/>
    </row>
    <row r="106">
      <c r="A106" t="n">
        <v>105</v>
      </c>
      <c r="B106" t="inlineStr">
        <is>
          <t>Dynamic Propellers</t>
        </is>
      </c>
      <c r="C106" t="inlineStr">
        <is>
          <t>Dynamic Propellers</t>
        </is>
      </c>
      <c r="D106" t="inlineStr"/>
      <c r="E106" t="inlineStr">
        <is>
          <t>Unspecified</t>
        </is>
      </c>
      <c r="F106" t="inlineStr"/>
      <c r="G106" t="inlineStr">
        <is>
          <t>Low</t>
        </is>
      </c>
      <c r="H106" t="inlineStr">
        <is>
          <t>Investigate</t>
        </is>
      </c>
      <c r="I106" t="inlineStr">
        <is>
          <t>1970-01-01</t>
        </is>
      </c>
      <c r="J106" t="inlineStr"/>
      <c r="K106" t="inlineStr"/>
    </row>
    <row r="107">
      <c r="A107" t="n">
        <v>106</v>
      </c>
      <c r="B107" t="inlineStr">
        <is>
          <t>East Coast Aviation (Pty) LTD</t>
        </is>
      </c>
      <c r="C107" t="inlineStr">
        <is>
          <t>East Coast Aviation (Pty) LTD</t>
        </is>
      </c>
      <c r="D107" t="inlineStr"/>
      <c r="E107" t="inlineStr">
        <is>
          <t>Unspecified</t>
        </is>
      </c>
      <c r="F107" t="inlineStr"/>
      <c r="G107" t="inlineStr">
        <is>
          <t>Low</t>
        </is>
      </c>
      <c r="H107" t="inlineStr">
        <is>
          <t>Investigate</t>
        </is>
      </c>
      <c r="I107" t="inlineStr">
        <is>
          <t>1970-01-01</t>
        </is>
      </c>
      <c r="J107" t="inlineStr"/>
      <c r="K107" t="inlineStr"/>
    </row>
    <row r="108">
      <c r="A108" t="n">
        <v>107</v>
      </c>
      <c r="B108" t="inlineStr">
        <is>
          <t>Emperor Aviation Pty(Ltd)</t>
        </is>
      </c>
      <c r="C108" t="inlineStr">
        <is>
          <t>Emperor Aviation</t>
        </is>
      </c>
      <c r="D108" s="206" t="n">
        <v>45737</v>
      </c>
      <c r="E108" t="inlineStr">
        <is>
          <t>AMO - Heli</t>
        </is>
      </c>
      <c r="F108" t="inlineStr">
        <is>
          <t>Client</t>
        </is>
      </c>
      <c r="G108" t="inlineStr">
        <is>
          <t>Low</t>
        </is>
      </c>
      <c r="H108" t="inlineStr">
        <is>
          <t>Last Order</t>
        </is>
      </c>
      <c r="I108" t="inlineStr">
        <is>
          <t>2025-03-21</t>
        </is>
      </c>
      <c r="J108" t="inlineStr"/>
      <c r="K108" t="inlineStr"/>
    </row>
    <row r="109">
      <c r="A109" t="n">
        <v>108</v>
      </c>
      <c r="B109" t="inlineStr">
        <is>
          <t>Empire Aerospace</t>
        </is>
      </c>
      <c r="C109" t="inlineStr">
        <is>
          <t>Empire Aerospace</t>
        </is>
      </c>
      <c r="D109" t="inlineStr"/>
      <c r="E109" t="inlineStr">
        <is>
          <t>Unspecified</t>
        </is>
      </c>
      <c r="F109" t="inlineStr"/>
      <c r="G109" t="inlineStr">
        <is>
          <t>Low</t>
        </is>
      </c>
      <c r="H109" t="inlineStr">
        <is>
          <t>Investigate</t>
        </is>
      </c>
      <c r="I109" t="inlineStr">
        <is>
          <t>1970-01-01</t>
        </is>
      </c>
      <c r="J109" t="inlineStr"/>
      <c r="K109" t="inlineStr"/>
    </row>
    <row r="110">
      <c r="A110" t="n">
        <v>109</v>
      </c>
      <c r="B110" t="inlineStr">
        <is>
          <t>EPCOR</t>
        </is>
      </c>
      <c r="C110" t="inlineStr">
        <is>
          <t>EPCOR</t>
        </is>
      </c>
      <c r="D110" t="inlineStr"/>
      <c r="E110" t="inlineStr">
        <is>
          <t>Unspecified</t>
        </is>
      </c>
      <c r="F110" t="inlineStr"/>
      <c r="G110" t="inlineStr">
        <is>
          <t>Low</t>
        </is>
      </c>
      <c r="H110" t="inlineStr">
        <is>
          <t>Investigate</t>
        </is>
      </c>
      <c r="I110" t="inlineStr">
        <is>
          <t>1970-01-01</t>
        </is>
      </c>
      <c r="J110" t="inlineStr"/>
      <c r="K110" t="inlineStr"/>
    </row>
    <row r="111">
      <c r="A111" t="n">
        <v>110</v>
      </c>
      <c r="B111" t="inlineStr">
        <is>
          <t>Ethiopian Airlines</t>
        </is>
      </c>
      <c r="C111" t="inlineStr">
        <is>
          <t>Ethiopian Airlines</t>
        </is>
      </c>
      <c r="D111" t="inlineStr"/>
      <c r="E111" t="inlineStr">
        <is>
          <t>Unspecified</t>
        </is>
      </c>
      <c r="F111" t="inlineStr"/>
      <c r="G111" t="inlineStr">
        <is>
          <t>Low</t>
        </is>
      </c>
      <c r="H111" t="inlineStr">
        <is>
          <t>Investigate</t>
        </is>
      </c>
      <c r="I111" t="inlineStr">
        <is>
          <t>1970-01-01</t>
        </is>
      </c>
      <c r="J111" t="inlineStr"/>
      <c r="K111" t="inlineStr"/>
    </row>
    <row r="112">
      <c r="A112" t="n">
        <v>111</v>
      </c>
      <c r="B112" t="inlineStr">
        <is>
          <t>Euro Blitz 21 (Pty) Ltd</t>
        </is>
      </c>
      <c r="C112" t="inlineStr">
        <is>
          <t>Euro Blitz 21 (Pty) Ltd</t>
        </is>
      </c>
      <c r="D112" t="inlineStr"/>
      <c r="E112" t="inlineStr">
        <is>
          <t>Unspecified</t>
        </is>
      </c>
      <c r="F112" t="inlineStr"/>
      <c r="G112" t="inlineStr">
        <is>
          <t>Low</t>
        </is>
      </c>
      <c r="H112" t="inlineStr">
        <is>
          <t>Investigate</t>
        </is>
      </c>
      <c r="I112" t="inlineStr">
        <is>
          <t>1970-01-01</t>
        </is>
      </c>
      <c r="J112" t="inlineStr"/>
      <c r="K112" t="inlineStr"/>
    </row>
    <row r="113">
      <c r="A113" t="n">
        <v>112</v>
      </c>
      <c r="B113" t="inlineStr">
        <is>
          <t>Execujet MRO Services (Pty) Ltd</t>
        </is>
      </c>
      <c r="C113" t="inlineStr">
        <is>
          <t>Execujet MRO Services (Pty) Ltd</t>
        </is>
      </c>
      <c r="D113" t="inlineStr"/>
      <c r="E113" t="inlineStr">
        <is>
          <t>Unspecified</t>
        </is>
      </c>
      <c r="F113" t="inlineStr"/>
      <c r="G113" t="inlineStr">
        <is>
          <t>Low</t>
        </is>
      </c>
      <c r="H113" t="inlineStr">
        <is>
          <t>Investigate</t>
        </is>
      </c>
      <c r="I113" t="inlineStr">
        <is>
          <t>1970-01-01</t>
        </is>
      </c>
      <c r="J113" t="inlineStr"/>
      <c r="K113" t="inlineStr"/>
    </row>
    <row r="114">
      <c r="A114" t="n">
        <v>113</v>
      </c>
      <c r="B114" t="inlineStr">
        <is>
          <t>Executive Air Zimbabwe</t>
        </is>
      </c>
      <c r="C114" t="inlineStr">
        <is>
          <t>Executive Air Zimbabwe</t>
        </is>
      </c>
      <c r="D114" t="inlineStr"/>
      <c r="E114" t="inlineStr">
        <is>
          <t>Unspecified</t>
        </is>
      </c>
      <c r="F114" t="inlineStr"/>
      <c r="G114" t="inlineStr">
        <is>
          <t>Low</t>
        </is>
      </c>
      <c r="H114" t="inlineStr">
        <is>
          <t>Investigate</t>
        </is>
      </c>
      <c r="I114" t="inlineStr">
        <is>
          <t>1970-01-01</t>
        </is>
      </c>
      <c r="J114" t="inlineStr"/>
      <c r="K114" t="inlineStr"/>
    </row>
    <row r="115">
      <c r="A115" t="n">
        <v>114</v>
      </c>
      <c r="B115" t="inlineStr">
        <is>
          <t>Executive Aircraft Refurbishement</t>
        </is>
      </c>
      <c r="C115" t="inlineStr">
        <is>
          <t>Executive a/c refurbish</t>
        </is>
      </c>
      <c r="D115" s="206" t="n">
        <v>45231</v>
      </c>
      <c r="E115" t="inlineStr">
        <is>
          <t>Unspecified</t>
        </is>
      </c>
      <c r="F115" t="inlineStr"/>
      <c r="G115" t="inlineStr">
        <is>
          <t>Low</t>
        </is>
      </c>
      <c r="H115" t="inlineStr">
        <is>
          <t>Investigate</t>
        </is>
      </c>
      <c r="I115" t="inlineStr">
        <is>
          <t>1970-01-01</t>
        </is>
      </c>
      <c r="J115" t="inlineStr"/>
      <c r="K115" t="inlineStr"/>
    </row>
    <row r="116">
      <c r="A116" t="n">
        <v>115</v>
      </c>
      <c r="B116" t="inlineStr">
        <is>
          <t>Executive Avionic Solutions</t>
        </is>
      </c>
      <c r="C116" t="inlineStr">
        <is>
          <t>exec avio soln SAM</t>
        </is>
      </c>
      <c r="D116" s="206" t="n">
        <v>39518</v>
      </c>
      <c r="E116" t="inlineStr">
        <is>
          <t>Unspecified</t>
        </is>
      </c>
      <c r="F116" t="inlineStr"/>
      <c r="G116" t="inlineStr">
        <is>
          <t>Low</t>
        </is>
      </c>
      <c r="H116" t="inlineStr">
        <is>
          <t>Investigate</t>
        </is>
      </c>
      <c r="I116" t="inlineStr">
        <is>
          <t>1970-01-01</t>
        </is>
      </c>
      <c r="J116" t="inlineStr"/>
      <c r="K116" t="inlineStr"/>
    </row>
    <row r="117">
      <c r="A117" t="n">
        <v>116</v>
      </c>
      <c r="B117" t="inlineStr">
        <is>
          <t>F Gomes Upholsters</t>
        </is>
      </c>
      <c r="C117" t="inlineStr">
        <is>
          <t>F Gomes Upholsters</t>
        </is>
      </c>
      <c r="D117" t="inlineStr"/>
      <c r="E117" t="inlineStr">
        <is>
          <t>Unspecified</t>
        </is>
      </c>
      <c r="F117" t="inlineStr"/>
      <c r="G117" t="inlineStr">
        <is>
          <t>Low</t>
        </is>
      </c>
      <c r="H117" t="inlineStr">
        <is>
          <t>Investigate</t>
        </is>
      </c>
      <c r="I117" t="inlineStr">
        <is>
          <t>1970-01-01</t>
        </is>
      </c>
      <c r="J117" t="inlineStr"/>
      <c r="K117" t="inlineStr"/>
    </row>
    <row r="118">
      <c r="A118" t="n">
        <v>117</v>
      </c>
      <c r="B118" t="inlineStr">
        <is>
          <t>Faith Aviation</t>
        </is>
      </c>
      <c r="C118" t="inlineStr">
        <is>
          <t>Faith Aviation</t>
        </is>
      </c>
      <c r="D118" t="inlineStr"/>
      <c r="E118" t="inlineStr">
        <is>
          <t>Unspecified</t>
        </is>
      </c>
      <c r="F118" t="inlineStr"/>
      <c r="G118" t="inlineStr">
        <is>
          <t>Low</t>
        </is>
      </c>
      <c r="H118" t="inlineStr">
        <is>
          <t>Investigate</t>
        </is>
      </c>
      <c r="I118" t="inlineStr">
        <is>
          <t>1970-01-01</t>
        </is>
      </c>
      <c r="J118" t="inlineStr"/>
      <c r="K118" t="inlineStr"/>
    </row>
    <row r="119">
      <c r="A119" t="n">
        <v>118</v>
      </c>
      <c r="B119" t="inlineStr">
        <is>
          <t>Falconair (Pty) Ltd</t>
        </is>
      </c>
      <c r="C119" t="inlineStr">
        <is>
          <t>Falconair (Pty) Ltd</t>
        </is>
      </c>
      <c r="D119" t="inlineStr"/>
      <c r="E119" t="inlineStr">
        <is>
          <t>Unspecified</t>
        </is>
      </c>
      <c r="F119" t="inlineStr"/>
      <c r="G119" t="inlineStr">
        <is>
          <t>Low</t>
        </is>
      </c>
      <c r="H119" t="inlineStr">
        <is>
          <t>Investigate</t>
        </is>
      </c>
      <c r="I119" t="inlineStr">
        <is>
          <t>1970-01-01</t>
        </is>
      </c>
      <c r="J119" t="inlineStr"/>
      <c r="K119" t="inlineStr"/>
    </row>
    <row r="120">
      <c r="A120" t="n">
        <v>119</v>
      </c>
      <c r="B120" t="inlineStr">
        <is>
          <t>Ferreira Aviation CC</t>
        </is>
      </c>
      <c r="C120" t="inlineStr">
        <is>
          <t>Ferreira Aviation</t>
        </is>
      </c>
      <c r="D120" s="206" t="n">
        <v>44610</v>
      </c>
      <c r="E120" t="inlineStr">
        <is>
          <t>AMO</t>
        </is>
      </c>
      <c r="F120" t="inlineStr">
        <is>
          <t>Convert - Serial Number</t>
        </is>
      </c>
      <c r="G120" t="inlineStr">
        <is>
          <t>Medium</t>
        </is>
      </c>
      <c r="H120" t="inlineStr">
        <is>
          <t>Last Order</t>
        </is>
      </c>
      <c r="I120" t="inlineStr">
        <is>
          <t>2022-02-18</t>
        </is>
      </c>
      <c r="J120" t="n">
        <v>1</v>
      </c>
      <c r="K120" t="inlineStr"/>
    </row>
    <row r="121">
      <c r="A121" t="n">
        <v>120</v>
      </c>
      <c r="B121" t="inlineStr">
        <is>
          <t>FFA  Aviation</t>
        </is>
      </c>
      <c r="C121" t="inlineStr">
        <is>
          <t>FFA  Aviation</t>
        </is>
      </c>
      <c r="D121" t="inlineStr"/>
      <c r="E121" t="inlineStr">
        <is>
          <t>Unspecified</t>
        </is>
      </c>
      <c r="F121" t="inlineStr"/>
      <c r="G121" t="inlineStr">
        <is>
          <t>Low</t>
        </is>
      </c>
      <c r="H121" t="inlineStr">
        <is>
          <t>Investigate</t>
        </is>
      </c>
      <c r="I121" t="inlineStr">
        <is>
          <t>1970-01-01</t>
        </is>
      </c>
      <c r="J121" t="inlineStr"/>
      <c r="K121" t="inlineStr"/>
    </row>
    <row r="122">
      <c r="A122" t="n">
        <v>121</v>
      </c>
      <c r="B122" t="inlineStr">
        <is>
          <t>Fields Airmotive CC</t>
        </is>
      </c>
      <c r="C122" t="inlineStr">
        <is>
          <t>Fields Airmotive</t>
        </is>
      </c>
      <c r="D122" s="206" t="n">
        <v>38301</v>
      </c>
      <c r="E122" t="inlineStr">
        <is>
          <t>Unspecified</t>
        </is>
      </c>
      <c r="F122" t="inlineStr"/>
      <c r="G122" t="inlineStr">
        <is>
          <t>Low</t>
        </is>
      </c>
      <c r="H122" t="inlineStr">
        <is>
          <t>Investigate</t>
        </is>
      </c>
      <c r="I122" t="inlineStr">
        <is>
          <t>1970-01-01</t>
        </is>
      </c>
      <c r="J122" t="inlineStr"/>
      <c r="K122" t="inlineStr"/>
    </row>
    <row r="123">
      <c r="A123" t="n">
        <v>122</v>
      </c>
      <c r="B123" t="inlineStr">
        <is>
          <t>FIREBLADE AVIATION (PTY) LTD</t>
        </is>
      </c>
      <c r="C123" t="inlineStr">
        <is>
          <t>FIREBLADE AVIATION (PTY) LTD</t>
        </is>
      </c>
      <c r="D123" t="inlineStr"/>
      <c r="E123" t="inlineStr">
        <is>
          <t>Unspecified</t>
        </is>
      </c>
      <c r="F123" t="inlineStr"/>
      <c r="G123" t="inlineStr">
        <is>
          <t>Low</t>
        </is>
      </c>
      <c r="H123" t="inlineStr">
        <is>
          <t>Investigate</t>
        </is>
      </c>
      <c r="I123" t="inlineStr">
        <is>
          <t>1970-01-01</t>
        </is>
      </c>
      <c r="J123" t="inlineStr"/>
      <c r="K123" t="inlineStr"/>
    </row>
    <row r="124">
      <c r="A124" t="n">
        <v>123</v>
      </c>
      <c r="B124" t="inlineStr">
        <is>
          <t>FJ Turbine</t>
        </is>
      </c>
      <c r="C124" t="inlineStr">
        <is>
          <t>FJ Turbine</t>
        </is>
      </c>
      <c r="D124" t="inlineStr"/>
      <c r="E124" t="inlineStr">
        <is>
          <t>Unspecified</t>
        </is>
      </c>
      <c r="F124" t="inlineStr"/>
      <c r="G124" t="inlineStr">
        <is>
          <t>Low</t>
        </is>
      </c>
      <c r="H124" t="inlineStr">
        <is>
          <t>Investigate</t>
        </is>
      </c>
      <c r="I124" t="inlineStr">
        <is>
          <t>1970-01-01</t>
        </is>
      </c>
      <c r="J124" t="inlineStr"/>
      <c r="K124" t="inlineStr"/>
    </row>
    <row r="125">
      <c r="A125" t="n">
        <v>124</v>
      </c>
      <c r="B125" t="inlineStr">
        <is>
          <t>FL Technics</t>
        </is>
      </c>
      <c r="C125" t="inlineStr">
        <is>
          <t>FL Technics</t>
        </is>
      </c>
      <c r="D125" t="inlineStr"/>
      <c r="E125" t="inlineStr">
        <is>
          <t>Unspecified</t>
        </is>
      </c>
      <c r="F125" t="inlineStr"/>
      <c r="G125" t="inlineStr">
        <is>
          <t>Low</t>
        </is>
      </c>
      <c r="H125" t="inlineStr">
        <is>
          <t>Investigate</t>
        </is>
      </c>
      <c r="I125" t="inlineStr">
        <is>
          <t>1970-01-01</t>
        </is>
      </c>
      <c r="J125" t="inlineStr"/>
      <c r="K125" t="inlineStr"/>
    </row>
    <row r="126">
      <c r="A126" t="n">
        <v>125</v>
      </c>
      <c r="B126" t="inlineStr">
        <is>
          <t>Flamboyant Balloons (Pty) Ltd</t>
        </is>
      </c>
      <c r="C126" t="inlineStr">
        <is>
          <t>Flamboyant Balloons (Pty) Ltd</t>
        </is>
      </c>
      <c r="D126" t="inlineStr"/>
      <c r="E126" t="inlineStr">
        <is>
          <t>Unspecified</t>
        </is>
      </c>
      <c r="F126" t="inlineStr"/>
      <c r="G126" t="inlineStr">
        <is>
          <t>Low</t>
        </is>
      </c>
      <c r="H126" t="inlineStr">
        <is>
          <t>Investigate</t>
        </is>
      </c>
      <c r="I126" t="inlineStr">
        <is>
          <t>1970-01-01</t>
        </is>
      </c>
      <c r="J126" t="inlineStr"/>
      <c r="K126" t="inlineStr"/>
    </row>
    <row r="127">
      <c r="A127" t="n">
        <v>126</v>
      </c>
      <c r="B127" t="inlineStr">
        <is>
          <t>Flicape (Pty) Ltd</t>
        </is>
      </c>
      <c r="C127" t="inlineStr">
        <is>
          <t>Flicape (Pty) Ltd</t>
        </is>
      </c>
      <c r="D127" t="inlineStr"/>
      <c r="E127" t="inlineStr">
        <is>
          <t>Unspecified</t>
        </is>
      </c>
      <c r="F127" t="inlineStr"/>
      <c r="G127" t="inlineStr">
        <is>
          <t>Low</t>
        </is>
      </c>
      <c r="H127" t="inlineStr">
        <is>
          <t>Investigate</t>
        </is>
      </c>
      <c r="I127" t="inlineStr">
        <is>
          <t>1970-01-01</t>
        </is>
      </c>
      <c r="J127" t="inlineStr"/>
      <c r="K127" t="inlineStr"/>
    </row>
    <row r="128">
      <c r="A128" t="n">
        <v>127</v>
      </c>
      <c r="B128" t="inlineStr">
        <is>
          <t>Flightsure</t>
        </is>
      </c>
      <c r="C128" t="inlineStr">
        <is>
          <t>Flightsure</t>
        </is>
      </c>
      <c r="D128" s="206" t="n">
        <v>38035</v>
      </c>
      <c r="E128" t="inlineStr">
        <is>
          <t>Brokers</t>
        </is>
      </c>
      <c r="F128" t="inlineStr">
        <is>
          <t>Approved Supplier</t>
        </is>
      </c>
      <c r="G128" t="inlineStr">
        <is>
          <t>Imminent</t>
        </is>
      </c>
      <c r="H128" t="inlineStr">
        <is>
          <t>Contacted - Email</t>
        </is>
      </c>
      <c r="I128" t="inlineStr">
        <is>
          <t>2025-07-15</t>
        </is>
      </c>
      <c r="J128" t="n">
        <v>1</v>
      </c>
      <c r="K128" t="inlineStr"/>
    </row>
    <row r="129">
      <c r="A129" t="n">
        <v>128</v>
      </c>
      <c r="B129" t="inlineStr">
        <is>
          <t>FliteTech (Pty) Ltd</t>
        </is>
      </c>
      <c r="C129" t="inlineStr">
        <is>
          <t>FliteTech (Pty) Ltd</t>
        </is>
      </c>
      <c r="D129" t="inlineStr"/>
      <c r="E129" t="inlineStr">
        <is>
          <t>Unspecified</t>
        </is>
      </c>
      <c r="F129" t="inlineStr"/>
      <c r="G129" t="inlineStr">
        <is>
          <t>Low</t>
        </is>
      </c>
      <c r="H129" t="inlineStr">
        <is>
          <t>Investigate</t>
        </is>
      </c>
      <c r="I129" t="inlineStr">
        <is>
          <t>1970-01-01</t>
        </is>
      </c>
      <c r="J129" t="inlineStr"/>
      <c r="K129" t="inlineStr"/>
    </row>
    <row r="130">
      <c r="A130" t="n">
        <v>129</v>
      </c>
      <c r="B130" t="inlineStr">
        <is>
          <t>FLY CDMA (PTY) LTD</t>
        </is>
      </c>
      <c r="C130" t="inlineStr">
        <is>
          <t>FLY CDMA (PTY) LTD</t>
        </is>
      </c>
      <c r="D130" t="inlineStr"/>
      <c r="E130" t="inlineStr">
        <is>
          <t>Unspecified</t>
        </is>
      </c>
      <c r="F130" t="inlineStr"/>
      <c r="G130" t="inlineStr">
        <is>
          <t>Low</t>
        </is>
      </c>
      <c r="H130" t="inlineStr">
        <is>
          <t>Investigate</t>
        </is>
      </c>
      <c r="I130" t="inlineStr">
        <is>
          <t>1970-01-01</t>
        </is>
      </c>
      <c r="J130" t="inlineStr"/>
      <c r="K130" t="inlineStr"/>
    </row>
    <row r="131">
      <c r="A131" t="n">
        <v>130</v>
      </c>
      <c r="B131" t="inlineStr">
        <is>
          <t>FlyCemAir</t>
        </is>
      </c>
      <c r="C131" t="inlineStr">
        <is>
          <t>FlyCemAir</t>
        </is>
      </c>
      <c r="D131" t="inlineStr"/>
      <c r="E131" t="inlineStr">
        <is>
          <t>Unspecified</t>
        </is>
      </c>
      <c r="F131" t="inlineStr"/>
      <c r="G131" t="inlineStr">
        <is>
          <t>Low</t>
        </is>
      </c>
      <c r="H131" t="inlineStr">
        <is>
          <t>Investigate</t>
        </is>
      </c>
      <c r="I131" t="inlineStr">
        <is>
          <t>1970-01-01</t>
        </is>
      </c>
      <c r="J131" t="inlineStr"/>
      <c r="K131" t="inlineStr"/>
    </row>
    <row r="132">
      <c r="A132" t="n">
        <v>131</v>
      </c>
      <c r="B132" t="inlineStr">
        <is>
          <t>Flyhigh Aviation (Pty) Ltd</t>
        </is>
      </c>
      <c r="C132" t="inlineStr">
        <is>
          <t>Flyhigh Aviation (Pty) Ltd</t>
        </is>
      </c>
      <c r="D132" t="inlineStr"/>
      <c r="E132" t="inlineStr">
        <is>
          <t>Unspecified</t>
        </is>
      </c>
      <c r="F132" t="inlineStr"/>
      <c r="G132" t="inlineStr">
        <is>
          <t>Low</t>
        </is>
      </c>
      <c r="H132" t="inlineStr">
        <is>
          <t>Investigate</t>
        </is>
      </c>
      <c r="I132" t="inlineStr">
        <is>
          <t>1970-01-01</t>
        </is>
      </c>
      <c r="J132" t="inlineStr"/>
      <c r="K132" t="inlineStr"/>
    </row>
    <row r="133">
      <c r="A133" t="n">
        <v>132</v>
      </c>
      <c r="B133" t="inlineStr">
        <is>
          <t>Flyonics</t>
        </is>
      </c>
      <c r="C133" t="inlineStr">
        <is>
          <t>Flyonics</t>
        </is>
      </c>
      <c r="D133" s="206" t="n">
        <v>44165</v>
      </c>
      <c r="E133" t="inlineStr">
        <is>
          <t>Unspecified</t>
        </is>
      </c>
      <c r="F133" t="inlineStr"/>
      <c r="G133" t="inlineStr">
        <is>
          <t>Low</t>
        </is>
      </c>
      <c r="H133" t="inlineStr">
        <is>
          <t>Investigate</t>
        </is>
      </c>
      <c r="I133" t="inlineStr">
        <is>
          <t>1970-01-01</t>
        </is>
      </c>
      <c r="J133" t="inlineStr"/>
      <c r="K133" t="inlineStr"/>
    </row>
    <row r="134">
      <c r="A134" t="n">
        <v>133</v>
      </c>
      <c r="B134" t="inlineStr">
        <is>
          <t>Fofang Aviation</t>
        </is>
      </c>
      <c r="C134" t="inlineStr">
        <is>
          <t>Fofang Aviation</t>
        </is>
      </c>
      <c r="D134" t="inlineStr"/>
      <c r="E134" t="inlineStr">
        <is>
          <t>Unspecified</t>
        </is>
      </c>
      <c r="F134" t="inlineStr"/>
      <c r="G134" t="inlineStr">
        <is>
          <t>Low</t>
        </is>
      </c>
      <c r="H134" t="inlineStr">
        <is>
          <t>Investigate</t>
        </is>
      </c>
      <c r="I134" t="inlineStr">
        <is>
          <t>1970-01-01</t>
        </is>
      </c>
      <c r="J134" t="inlineStr"/>
      <c r="K134" t="inlineStr"/>
    </row>
    <row r="135">
      <c r="A135" t="n">
        <v>134</v>
      </c>
      <c r="B135" t="inlineStr">
        <is>
          <t>GE Aircraft Engine Services</t>
        </is>
      </c>
      <c r="C135" t="inlineStr">
        <is>
          <t>GE Aircraft Engine Services</t>
        </is>
      </c>
      <c r="D135" t="inlineStr"/>
      <c r="E135" t="inlineStr">
        <is>
          <t>Unspecified</t>
        </is>
      </c>
      <c r="F135" t="inlineStr"/>
      <c r="G135" t="inlineStr">
        <is>
          <t>Low</t>
        </is>
      </c>
      <c r="H135" t="inlineStr">
        <is>
          <t>Investigate</t>
        </is>
      </c>
      <c r="I135" t="inlineStr">
        <is>
          <t>1970-01-01</t>
        </is>
      </c>
      <c r="J135" t="inlineStr"/>
      <c r="K135" t="inlineStr"/>
    </row>
    <row r="136">
      <c r="A136" t="n">
        <v>135</v>
      </c>
      <c r="B136" t="inlineStr">
        <is>
          <t>GE Company USA</t>
        </is>
      </c>
      <c r="C136" t="inlineStr">
        <is>
          <t>GE Company USA</t>
        </is>
      </c>
      <c r="D136" t="inlineStr"/>
      <c r="E136" t="inlineStr">
        <is>
          <t>Unspecified</t>
        </is>
      </c>
      <c r="F136" t="inlineStr"/>
      <c r="G136" t="inlineStr">
        <is>
          <t>Low</t>
        </is>
      </c>
      <c r="H136" t="inlineStr">
        <is>
          <t>Investigate</t>
        </is>
      </c>
      <c r="I136" t="inlineStr">
        <is>
          <t>1970-01-01</t>
        </is>
      </c>
      <c r="J136" t="inlineStr"/>
      <c r="K136" t="inlineStr"/>
    </row>
    <row r="137">
      <c r="A137" t="n">
        <v>136</v>
      </c>
      <c r="B137" t="inlineStr">
        <is>
          <t>GE Engine Services, LLC d/b/a GE Aviation</t>
        </is>
      </c>
      <c r="C137" t="inlineStr">
        <is>
          <t>GE Engine Services, LLC d/b/a GE Aviation</t>
        </is>
      </c>
      <c r="D137" t="inlineStr"/>
      <c r="E137" t="inlineStr">
        <is>
          <t>Unspecified</t>
        </is>
      </c>
      <c r="F137" t="inlineStr"/>
      <c r="G137" t="inlineStr">
        <is>
          <t>Low</t>
        </is>
      </c>
      <c r="H137" t="inlineStr">
        <is>
          <t>Investigate</t>
        </is>
      </c>
      <c r="I137" t="inlineStr">
        <is>
          <t>1970-01-01</t>
        </is>
      </c>
      <c r="J137" t="inlineStr"/>
      <c r="K137" t="inlineStr"/>
    </row>
    <row r="138">
      <c r="A138" t="n">
        <v>137</v>
      </c>
      <c r="B138" t="inlineStr">
        <is>
          <t>Gemair CC</t>
        </is>
      </c>
      <c r="C138" t="inlineStr">
        <is>
          <t>Gemair</t>
        </is>
      </c>
      <c r="D138" s="206" t="n">
        <v>45090</v>
      </c>
      <c r="E138" t="inlineStr">
        <is>
          <t>Unspecified</t>
        </is>
      </c>
      <c r="F138" t="inlineStr"/>
      <c r="G138" t="inlineStr">
        <is>
          <t>Low</t>
        </is>
      </c>
      <c r="H138" t="inlineStr">
        <is>
          <t>Investigate</t>
        </is>
      </c>
      <c r="I138" t="inlineStr">
        <is>
          <t>1970-01-01</t>
        </is>
      </c>
      <c r="J138" t="inlineStr"/>
      <c r="K138" t="inlineStr"/>
    </row>
    <row r="139">
      <c r="A139" t="n">
        <v>138</v>
      </c>
      <c r="B139" t="inlineStr">
        <is>
          <t>Geotech Aviation South Africa(PTY) LTD</t>
        </is>
      </c>
      <c r="C139" t="inlineStr">
        <is>
          <t>Geotech Aviation South Africa(PTY) LTD</t>
        </is>
      </c>
      <c r="D139" t="inlineStr"/>
      <c r="E139" t="inlineStr">
        <is>
          <t>Unspecified</t>
        </is>
      </c>
      <c r="F139" t="inlineStr"/>
      <c r="G139" t="inlineStr">
        <is>
          <t>Low</t>
        </is>
      </c>
      <c r="H139" t="inlineStr">
        <is>
          <t>Closed</t>
        </is>
      </c>
      <c r="I139" t="inlineStr">
        <is>
          <t>1970-01-01</t>
        </is>
      </c>
      <c r="J139" t="inlineStr"/>
      <c r="K139" t="inlineStr"/>
    </row>
    <row r="140">
      <c r="A140" t="n">
        <v>139</v>
      </c>
      <c r="B140" t="inlineStr">
        <is>
          <t>GIB Insurance Brokers</t>
        </is>
      </c>
      <c r="C140" t="inlineStr">
        <is>
          <t>GIB Insurance Brokers</t>
        </is>
      </c>
      <c r="D140" t="inlineStr"/>
      <c r="E140" t="inlineStr">
        <is>
          <t>Brokers</t>
        </is>
      </c>
      <c r="F140" t="inlineStr">
        <is>
          <t>Approved Supplier</t>
        </is>
      </c>
      <c r="G140" t="inlineStr">
        <is>
          <t>Low</t>
        </is>
      </c>
      <c r="H140" t="inlineStr">
        <is>
          <t>Unknown</t>
        </is>
      </c>
      <c r="I140" t="inlineStr">
        <is>
          <t>1970-01-01</t>
        </is>
      </c>
      <c r="J140" t="inlineStr"/>
      <c r="K140" t="inlineStr"/>
    </row>
    <row r="141">
      <c r="A141" t="n">
        <v>140</v>
      </c>
      <c r="B141" t="inlineStr">
        <is>
          <t>Global Aerotech</t>
        </is>
      </c>
      <c r="C141" t="inlineStr">
        <is>
          <t>Global Aerotech</t>
        </is>
      </c>
      <c r="D141" t="inlineStr"/>
      <c r="E141" t="inlineStr">
        <is>
          <t>Unspecified</t>
        </is>
      </c>
      <c r="F141" t="inlineStr"/>
      <c r="G141" t="inlineStr">
        <is>
          <t>Low</t>
        </is>
      </c>
      <c r="H141" t="inlineStr">
        <is>
          <t>Investigate</t>
        </is>
      </c>
      <c r="I141" t="inlineStr">
        <is>
          <t>1970-01-01</t>
        </is>
      </c>
      <c r="J141" t="inlineStr"/>
      <c r="K141" t="inlineStr"/>
    </row>
    <row r="142">
      <c r="A142" t="n">
        <v>141</v>
      </c>
      <c r="B142" t="inlineStr">
        <is>
          <t>Greystones Aviaton Components (Pty) Ltd</t>
        </is>
      </c>
      <c r="C142" t="inlineStr">
        <is>
          <t>Greystones Aviaton Components (Pty) Ltd</t>
        </is>
      </c>
      <c r="D142" t="inlineStr"/>
      <c r="E142" t="inlineStr">
        <is>
          <t>Unspecified</t>
        </is>
      </c>
      <c r="F142" t="inlineStr"/>
      <c r="G142" t="inlineStr">
        <is>
          <t>Low</t>
        </is>
      </c>
      <c r="H142" t="inlineStr">
        <is>
          <t>Investigate</t>
        </is>
      </c>
      <c r="I142" t="inlineStr">
        <is>
          <t>1970-01-01</t>
        </is>
      </c>
      <c r="J142" t="inlineStr"/>
      <c r="K142" t="inlineStr"/>
    </row>
    <row r="143">
      <c r="A143" t="n">
        <v>142</v>
      </c>
      <c r="B143" t="inlineStr">
        <is>
          <t>Ground2Air</t>
        </is>
      </c>
      <c r="C143" t="inlineStr">
        <is>
          <t>Ground2Air</t>
        </is>
      </c>
      <c r="D143" t="inlineStr"/>
      <c r="E143" t="inlineStr">
        <is>
          <t>Unspecified</t>
        </is>
      </c>
      <c r="F143" t="inlineStr"/>
      <c r="G143" t="inlineStr">
        <is>
          <t>Low</t>
        </is>
      </c>
      <c r="H143" t="inlineStr">
        <is>
          <t>Investigate</t>
        </is>
      </c>
      <c r="I143" t="inlineStr">
        <is>
          <t>1970-01-01</t>
        </is>
      </c>
      <c r="J143" t="inlineStr"/>
      <c r="K143" t="inlineStr"/>
    </row>
    <row r="144">
      <c r="A144" t="n">
        <v>143</v>
      </c>
      <c r="B144" t="inlineStr">
        <is>
          <t>Gryphen Aerospace (Pty) Ltd</t>
        </is>
      </c>
      <c r="C144" t="inlineStr">
        <is>
          <t>Gryphen Aerospace (Pty) Ltd</t>
        </is>
      </c>
      <c r="D144" t="inlineStr"/>
      <c r="E144" t="inlineStr">
        <is>
          <t>Unspecified</t>
        </is>
      </c>
      <c r="F144" t="inlineStr"/>
      <c r="G144" t="inlineStr">
        <is>
          <t>Low</t>
        </is>
      </c>
      <c r="H144" t="inlineStr">
        <is>
          <t>Investigate</t>
        </is>
      </c>
      <c r="I144" t="inlineStr">
        <is>
          <t>1970-01-01</t>
        </is>
      </c>
      <c r="J144" t="inlineStr"/>
      <c r="K144" t="inlineStr"/>
    </row>
    <row r="145">
      <c r="A145" t="n">
        <v>144</v>
      </c>
      <c r="B145" t="inlineStr">
        <is>
          <t>Guardian Air Maintenance</t>
        </is>
      </c>
      <c r="C145" t="inlineStr">
        <is>
          <t>Guardian Air Maintenance</t>
        </is>
      </c>
      <c r="D145" t="inlineStr"/>
      <c r="E145" t="inlineStr">
        <is>
          <t>Unspecified</t>
        </is>
      </c>
      <c r="F145" t="inlineStr"/>
      <c r="G145" t="inlineStr">
        <is>
          <t>Low</t>
        </is>
      </c>
      <c r="H145" t="inlineStr">
        <is>
          <t>Investigate</t>
        </is>
      </c>
      <c r="I145" t="inlineStr">
        <is>
          <t>1970-01-01</t>
        </is>
      </c>
      <c r="J145" t="inlineStr"/>
      <c r="K145" t="inlineStr"/>
    </row>
    <row r="146">
      <c r="A146" t="n">
        <v>145</v>
      </c>
      <c r="B146" t="inlineStr">
        <is>
          <t>Heli-Afrique</t>
        </is>
      </c>
      <c r="C146" t="inlineStr">
        <is>
          <t>Heli Afrique</t>
        </is>
      </c>
      <c r="D146" s="206" t="n">
        <v>42473</v>
      </c>
      <c r="E146" t="inlineStr">
        <is>
          <t>Unspecified</t>
        </is>
      </c>
      <c r="F146" t="inlineStr"/>
      <c r="G146" t="inlineStr">
        <is>
          <t>Low</t>
        </is>
      </c>
      <c r="H146" t="inlineStr">
        <is>
          <t>DNC</t>
        </is>
      </c>
      <c r="I146" t="inlineStr">
        <is>
          <t>1970-01-01</t>
        </is>
      </c>
      <c r="J146" t="inlineStr"/>
      <c r="K146" t="inlineStr"/>
    </row>
    <row r="147">
      <c r="A147" t="n">
        <v>146</v>
      </c>
      <c r="B147" t="inlineStr">
        <is>
          <t>Heli-Air Aviation (Pty) Ltd</t>
        </is>
      </c>
      <c r="C147" t="inlineStr">
        <is>
          <t>Heli-Air</t>
        </is>
      </c>
      <c r="D147" s="206" t="n">
        <v>45167</v>
      </c>
      <c r="E147" t="inlineStr">
        <is>
          <t>Unspecified</t>
        </is>
      </c>
      <c r="F147" t="inlineStr"/>
      <c r="G147" t="inlineStr">
        <is>
          <t>Low</t>
        </is>
      </c>
      <c r="H147" t="inlineStr">
        <is>
          <t>Investigate</t>
        </is>
      </c>
      <c r="I147" t="inlineStr">
        <is>
          <t>1970-01-01</t>
        </is>
      </c>
      <c r="J147" t="inlineStr"/>
      <c r="K147" t="inlineStr"/>
    </row>
    <row r="148">
      <c r="A148" t="n">
        <v>147</v>
      </c>
      <c r="B148" t="inlineStr">
        <is>
          <t>Heli-Fix cc</t>
        </is>
      </c>
      <c r="C148" t="inlineStr">
        <is>
          <t>Heli-Fix cc</t>
        </is>
      </c>
      <c r="D148" s="206" t="n">
        <v>45826</v>
      </c>
      <c r="E148" t="inlineStr">
        <is>
          <t>Unspecified</t>
        </is>
      </c>
      <c r="F148" t="inlineStr"/>
      <c r="G148" t="inlineStr">
        <is>
          <t>Low</t>
        </is>
      </c>
      <c r="H148" t="inlineStr">
        <is>
          <t>Investigate</t>
        </is>
      </c>
      <c r="I148" t="inlineStr">
        <is>
          <t>1970-01-01</t>
        </is>
      </c>
      <c r="J148" t="inlineStr"/>
      <c r="K148" t="inlineStr"/>
    </row>
    <row r="149">
      <c r="A149" t="n">
        <v>148</v>
      </c>
      <c r="B149" t="inlineStr">
        <is>
          <t>Henley Air Technical</t>
        </is>
      </c>
      <c r="C149" t="inlineStr">
        <is>
          <t>Henley Air</t>
        </is>
      </c>
      <c r="D149" s="206" t="n">
        <v>45624</v>
      </c>
      <c r="E149" t="inlineStr">
        <is>
          <t>Unspecified</t>
        </is>
      </c>
      <c r="F149" t="inlineStr"/>
      <c r="G149" t="inlineStr">
        <is>
          <t>Low</t>
        </is>
      </c>
      <c r="H149" t="inlineStr">
        <is>
          <t>Investigate</t>
        </is>
      </c>
      <c r="I149" t="inlineStr">
        <is>
          <t>1970-01-01</t>
        </is>
      </c>
      <c r="J149" t="inlineStr"/>
      <c r="K149" t="inlineStr"/>
    </row>
    <row r="150">
      <c r="A150" t="n">
        <v>149</v>
      </c>
      <c r="B150" t="inlineStr">
        <is>
          <t>Hover Dynamics CC</t>
        </is>
      </c>
      <c r="C150" t="inlineStr">
        <is>
          <t>Hover Dynamics</t>
        </is>
      </c>
      <c r="D150" s="206" t="n">
        <v>42795</v>
      </c>
      <c r="E150" t="inlineStr">
        <is>
          <t>Unspecified</t>
        </is>
      </c>
      <c r="F150" t="inlineStr"/>
      <c r="G150" t="inlineStr">
        <is>
          <t>Low</t>
        </is>
      </c>
      <c r="H150" t="inlineStr">
        <is>
          <t>Investigate</t>
        </is>
      </c>
      <c r="I150" t="inlineStr">
        <is>
          <t>1970-01-01</t>
        </is>
      </c>
      <c r="J150" t="inlineStr"/>
      <c r="K150" t="inlineStr"/>
    </row>
    <row r="151">
      <c r="A151" t="n">
        <v>150</v>
      </c>
      <c r="B151" t="inlineStr">
        <is>
          <t>Hover Dynamics Maintenance CC</t>
        </is>
      </c>
      <c r="C151" t="inlineStr">
        <is>
          <t>Hover Dynamics Mpumalanga</t>
        </is>
      </c>
      <c r="D151" s="206" t="n">
        <v>42712</v>
      </c>
      <c r="E151" t="inlineStr">
        <is>
          <t>Unspecified</t>
        </is>
      </c>
      <c r="F151" t="inlineStr"/>
      <c r="G151" t="inlineStr">
        <is>
          <t>Low</t>
        </is>
      </c>
      <c r="H151" t="inlineStr">
        <is>
          <t>Investigate</t>
        </is>
      </c>
      <c r="I151" t="inlineStr">
        <is>
          <t>1970-01-01</t>
        </is>
      </c>
      <c r="J151" t="inlineStr"/>
      <c r="K151" t="inlineStr"/>
    </row>
    <row r="152">
      <c r="A152" t="n">
        <v>151</v>
      </c>
      <c r="B152" t="inlineStr">
        <is>
          <t>HWTI T/A Aircraft Inc</t>
        </is>
      </c>
      <c r="C152" t="inlineStr">
        <is>
          <t>HWTI</t>
        </is>
      </c>
      <c r="D152" s="206" t="n">
        <v>43845</v>
      </c>
      <c r="E152" t="inlineStr">
        <is>
          <t>Unspecified</t>
        </is>
      </c>
      <c r="F152" t="inlineStr"/>
      <c r="G152" t="inlineStr">
        <is>
          <t>Low</t>
        </is>
      </c>
      <c r="H152" t="inlineStr">
        <is>
          <t>Investigate</t>
        </is>
      </c>
      <c r="I152" t="inlineStr">
        <is>
          <t>1970-01-01</t>
        </is>
      </c>
      <c r="J152" t="inlineStr"/>
      <c r="K152" t="inlineStr"/>
    </row>
    <row r="153">
      <c r="A153" t="n">
        <v>152</v>
      </c>
      <c r="B153" t="inlineStr">
        <is>
          <t>Indian Ocean</t>
        </is>
      </c>
      <c r="C153" t="inlineStr">
        <is>
          <t>Indian Ocean</t>
        </is>
      </c>
      <c r="D153" t="inlineStr"/>
      <c r="E153" t="inlineStr">
        <is>
          <t>Unspecified</t>
        </is>
      </c>
      <c r="F153" t="inlineStr"/>
      <c r="G153" t="inlineStr">
        <is>
          <t>Low</t>
        </is>
      </c>
      <c r="H153" t="inlineStr">
        <is>
          <t>Investigate</t>
        </is>
      </c>
      <c r="I153" t="inlineStr">
        <is>
          <t>1970-01-01</t>
        </is>
      </c>
      <c r="J153" t="inlineStr"/>
      <c r="K153" t="inlineStr"/>
    </row>
    <row r="154">
      <c r="A154" t="n">
        <v>153</v>
      </c>
      <c r="B154" t="inlineStr">
        <is>
          <t>Indwe Risk Services</t>
        </is>
      </c>
      <c r="C154" t="inlineStr">
        <is>
          <t>Indwe Risk Services</t>
        </is>
      </c>
      <c r="D154" t="inlineStr"/>
      <c r="E154" t="inlineStr">
        <is>
          <t>Brokers</t>
        </is>
      </c>
      <c r="F154" t="inlineStr">
        <is>
          <t>Approved Supplier</t>
        </is>
      </c>
      <c r="G154" t="inlineStr">
        <is>
          <t>Low</t>
        </is>
      </c>
      <c r="H154" t="inlineStr">
        <is>
          <t>Unknown</t>
        </is>
      </c>
      <c r="I154" t="inlineStr">
        <is>
          <t>1970-01-01</t>
        </is>
      </c>
      <c r="J154" t="inlineStr"/>
      <c r="K154" t="inlineStr"/>
    </row>
    <row r="155">
      <c r="A155" t="n">
        <v>154</v>
      </c>
      <c r="B155" t="inlineStr">
        <is>
          <t>Infiniti Insurance</t>
        </is>
      </c>
      <c r="C155" t="inlineStr">
        <is>
          <t>Infiniti Insurance</t>
        </is>
      </c>
      <c r="D155" t="inlineStr"/>
      <c r="E155" t="inlineStr">
        <is>
          <t>Underwriter</t>
        </is>
      </c>
      <c r="F155" t="inlineStr">
        <is>
          <t>Approved Supplier</t>
        </is>
      </c>
      <c r="G155" t="inlineStr">
        <is>
          <t>Low</t>
        </is>
      </c>
      <c r="H155" t="inlineStr">
        <is>
          <t>Contacted - Email</t>
        </is>
      </c>
      <c r="I155" t="inlineStr">
        <is>
          <t>2025-07-15</t>
        </is>
      </c>
      <c r="J155" t="n">
        <v>1</v>
      </c>
      <c r="K155" t="inlineStr"/>
    </row>
    <row r="156">
      <c r="A156" t="n">
        <v>155</v>
      </c>
      <c r="B156" t="inlineStr">
        <is>
          <t>Inter Mountain Turbine Services , Inc</t>
        </is>
      </c>
      <c r="C156" t="inlineStr">
        <is>
          <t>Inter Mountain Turbine Services , Inc</t>
        </is>
      </c>
      <c r="D156" t="inlineStr"/>
      <c r="E156" t="inlineStr">
        <is>
          <t>Unspecified</t>
        </is>
      </c>
      <c r="F156" t="inlineStr"/>
      <c r="G156" t="inlineStr">
        <is>
          <t>Low</t>
        </is>
      </c>
      <c r="H156" t="inlineStr">
        <is>
          <t>Investigate</t>
        </is>
      </c>
      <c r="I156" t="inlineStr">
        <is>
          <t>1970-01-01</t>
        </is>
      </c>
      <c r="J156" t="inlineStr"/>
      <c r="K156" t="inlineStr"/>
    </row>
    <row r="157">
      <c r="A157" t="n">
        <v>156</v>
      </c>
      <c r="B157" t="inlineStr">
        <is>
          <t>Intergrated Avionic Solutions George</t>
        </is>
      </c>
      <c r="C157" t="inlineStr">
        <is>
          <t>Intergrated Avionic Solutions George</t>
        </is>
      </c>
      <c r="D157" t="inlineStr"/>
      <c r="E157" t="inlineStr">
        <is>
          <t>Unspecified</t>
        </is>
      </c>
      <c r="F157" t="inlineStr"/>
      <c r="G157" t="inlineStr">
        <is>
          <t>Low</t>
        </is>
      </c>
      <c r="H157" t="inlineStr">
        <is>
          <t>Investigate</t>
        </is>
      </c>
      <c r="I157" t="inlineStr">
        <is>
          <t>1970-01-01</t>
        </is>
      </c>
      <c r="J157" t="inlineStr"/>
      <c r="K157" t="inlineStr"/>
    </row>
    <row r="158">
      <c r="A158" t="n">
        <v>157</v>
      </c>
      <c r="B158" t="inlineStr">
        <is>
          <t>iTOO Special Risks (Hollard)</t>
        </is>
      </c>
      <c r="C158" t="inlineStr">
        <is>
          <t>iTOO Special Risks (Hollard)</t>
        </is>
      </c>
      <c r="D158" t="inlineStr"/>
      <c r="E158" t="inlineStr">
        <is>
          <t>Underwriter</t>
        </is>
      </c>
      <c r="F158" t="inlineStr">
        <is>
          <t>Approved Supplier</t>
        </is>
      </c>
      <c r="G158" t="inlineStr">
        <is>
          <t>Low</t>
        </is>
      </c>
      <c r="H158" t="inlineStr">
        <is>
          <t>Contacted - Email</t>
        </is>
      </c>
      <c r="I158" t="inlineStr">
        <is>
          <t>2025-07-15</t>
        </is>
      </c>
      <c r="J158" t="n">
        <v>1</v>
      </c>
      <c r="K158" t="inlineStr"/>
    </row>
    <row r="159">
      <c r="A159" t="n">
        <v>158</v>
      </c>
      <c r="B159" t="inlineStr">
        <is>
          <t>J. P. Le Roux Repairs</t>
        </is>
      </c>
      <c r="C159" t="inlineStr">
        <is>
          <t>J. P. Le Roux Repairs</t>
        </is>
      </c>
      <c r="D159" t="inlineStr"/>
      <c r="E159" t="inlineStr">
        <is>
          <t>Unspecified</t>
        </is>
      </c>
      <c r="F159" t="inlineStr"/>
      <c r="G159" t="inlineStr">
        <is>
          <t>Low</t>
        </is>
      </c>
      <c r="H159" t="inlineStr">
        <is>
          <t>Investigate</t>
        </is>
      </c>
      <c r="I159" t="inlineStr">
        <is>
          <t>1970-01-01</t>
        </is>
      </c>
      <c r="J159" t="inlineStr"/>
      <c r="K159" t="inlineStr"/>
    </row>
    <row r="160">
      <c r="A160" t="n">
        <v>159</v>
      </c>
      <c r="B160" t="inlineStr">
        <is>
          <t>Jabiru Aviation</t>
        </is>
      </c>
      <c r="C160" t="inlineStr">
        <is>
          <t>Jabiru Aviation</t>
        </is>
      </c>
      <c r="D160" t="inlineStr"/>
      <c r="E160" t="inlineStr">
        <is>
          <t>Unspecified</t>
        </is>
      </c>
      <c r="F160" t="inlineStr"/>
      <c r="G160" t="inlineStr">
        <is>
          <t>Low</t>
        </is>
      </c>
      <c r="H160" t="inlineStr">
        <is>
          <t>Investigate</t>
        </is>
      </c>
      <c r="I160" t="inlineStr">
        <is>
          <t>1970-01-01</t>
        </is>
      </c>
      <c r="J160" t="inlineStr"/>
      <c r="K160" t="inlineStr"/>
    </row>
    <row r="161">
      <c r="A161" t="n">
        <v>160</v>
      </c>
      <c r="B161" t="inlineStr">
        <is>
          <t>Jet A Powered Conversions</t>
        </is>
      </c>
      <c r="C161" t="inlineStr">
        <is>
          <t>Jet A1 Conversions</t>
        </is>
      </c>
      <c r="D161" s="206" t="n">
        <v>44378</v>
      </c>
      <c r="E161" t="inlineStr">
        <is>
          <t>Unspecified</t>
        </is>
      </c>
      <c r="F161" t="inlineStr"/>
      <c r="G161" t="inlineStr">
        <is>
          <t>Low</t>
        </is>
      </c>
      <c r="H161" t="inlineStr">
        <is>
          <t>Investigate</t>
        </is>
      </c>
      <c r="I161" t="inlineStr">
        <is>
          <t>1970-01-01</t>
        </is>
      </c>
      <c r="J161" t="inlineStr"/>
      <c r="K161" t="inlineStr"/>
    </row>
    <row r="162">
      <c r="A162" t="n">
        <v>161</v>
      </c>
      <c r="B162" t="inlineStr">
        <is>
          <t>Jet A1</t>
        </is>
      </c>
      <c r="C162" t="inlineStr">
        <is>
          <t>Jet A1</t>
        </is>
      </c>
      <c r="D162" t="inlineStr"/>
      <c r="E162" t="inlineStr">
        <is>
          <t>Unspecified</t>
        </is>
      </c>
      <c r="F162" t="inlineStr"/>
      <c r="G162" t="inlineStr">
        <is>
          <t>Low</t>
        </is>
      </c>
      <c r="H162" t="inlineStr">
        <is>
          <t>Investigate</t>
        </is>
      </c>
      <c r="I162" t="inlineStr">
        <is>
          <t>1970-01-01</t>
        </is>
      </c>
      <c r="J162" t="inlineStr"/>
      <c r="K162" t="inlineStr"/>
    </row>
    <row r="163">
      <c r="A163" t="n">
        <v>162</v>
      </c>
      <c r="B163" t="inlineStr">
        <is>
          <t>Jet Aviation Basel</t>
        </is>
      </c>
      <c r="C163" t="inlineStr">
        <is>
          <t>Jet Aviation Basel</t>
        </is>
      </c>
      <c r="D163" t="inlineStr"/>
      <c r="E163" t="inlineStr">
        <is>
          <t>Unspecified</t>
        </is>
      </c>
      <c r="F163" t="inlineStr"/>
      <c r="G163" t="inlineStr">
        <is>
          <t>Low</t>
        </is>
      </c>
      <c r="H163" t="inlineStr">
        <is>
          <t>Investigate</t>
        </is>
      </c>
      <c r="I163" t="inlineStr">
        <is>
          <t>1970-01-01</t>
        </is>
      </c>
      <c r="J163" t="inlineStr"/>
      <c r="K163" t="inlineStr"/>
    </row>
    <row r="164">
      <c r="A164" t="n">
        <v>163</v>
      </c>
      <c r="B164" t="inlineStr">
        <is>
          <t>Jet Center Aircraft Maintenance</t>
        </is>
      </c>
      <c r="C164" t="inlineStr">
        <is>
          <t>Jet Center Aircraft Maintenance</t>
        </is>
      </c>
      <c r="D164" t="inlineStr"/>
      <c r="E164" t="inlineStr">
        <is>
          <t>Unspecified</t>
        </is>
      </c>
      <c r="F164" t="inlineStr"/>
      <c r="G164" t="inlineStr">
        <is>
          <t>Low</t>
        </is>
      </c>
      <c r="H164" t="inlineStr">
        <is>
          <t>Investigate</t>
        </is>
      </c>
      <c r="I164" t="inlineStr">
        <is>
          <t>1970-01-01</t>
        </is>
      </c>
      <c r="J164" t="inlineStr"/>
      <c r="K164" t="inlineStr"/>
    </row>
    <row r="165">
      <c r="A165" t="n">
        <v>164</v>
      </c>
      <c r="B165" t="inlineStr">
        <is>
          <t>Joc Air CC t/a The Propeller Shop</t>
        </is>
      </c>
      <c r="C165" t="inlineStr">
        <is>
          <t>Joc Air CC t/a The Propeller Shop</t>
        </is>
      </c>
      <c r="D165" t="inlineStr"/>
      <c r="E165" t="inlineStr">
        <is>
          <t>Unspecified</t>
        </is>
      </c>
      <c r="F165" t="inlineStr"/>
      <c r="G165" t="inlineStr">
        <is>
          <t>Low</t>
        </is>
      </c>
      <c r="H165" t="inlineStr">
        <is>
          <t>Investigate</t>
        </is>
      </c>
      <c r="I165" t="inlineStr">
        <is>
          <t>1970-01-01</t>
        </is>
      </c>
      <c r="J165" t="inlineStr"/>
      <c r="K165" t="inlineStr"/>
    </row>
    <row r="166">
      <c r="A166" t="n">
        <v>165</v>
      </c>
      <c r="B166" t="inlineStr">
        <is>
          <t>Jonker Sailplanes cc</t>
        </is>
      </c>
      <c r="C166" t="inlineStr">
        <is>
          <t>Jonker Sailplanes</t>
        </is>
      </c>
      <c r="D166" s="206" t="n">
        <v>44620</v>
      </c>
      <c r="E166" t="inlineStr">
        <is>
          <t>Unspecified</t>
        </is>
      </c>
      <c r="F166" t="inlineStr"/>
      <c r="G166" t="inlineStr">
        <is>
          <t>Low</t>
        </is>
      </c>
      <c r="H166" t="inlineStr">
        <is>
          <t>Investigate</t>
        </is>
      </c>
      <c r="I166" t="inlineStr">
        <is>
          <t>1970-01-01</t>
        </is>
      </c>
      <c r="J166" t="inlineStr"/>
      <c r="K166" t="inlineStr"/>
    </row>
    <row r="167">
      <c r="A167" t="n">
        <v>166</v>
      </c>
      <c r="B167" t="inlineStr">
        <is>
          <t>Joramco</t>
        </is>
      </c>
      <c r="C167" t="inlineStr">
        <is>
          <t>Joramco</t>
        </is>
      </c>
      <c r="D167" t="inlineStr"/>
      <c r="E167" t="inlineStr">
        <is>
          <t>Unspecified</t>
        </is>
      </c>
      <c r="F167" t="inlineStr"/>
      <c r="G167" t="inlineStr">
        <is>
          <t>Low</t>
        </is>
      </c>
      <c r="H167" t="inlineStr">
        <is>
          <t>Investigate</t>
        </is>
      </c>
      <c r="I167" t="inlineStr">
        <is>
          <t>1970-01-01</t>
        </is>
      </c>
      <c r="J167" t="inlineStr"/>
      <c r="K167" t="inlineStr"/>
    </row>
    <row r="168">
      <c r="A168" t="n">
        <v>167</v>
      </c>
      <c r="B168" t="inlineStr">
        <is>
          <t>Just Quickly Aircraft Structures CC</t>
        </is>
      </c>
      <c r="C168" t="inlineStr">
        <is>
          <t>Just Quickly Aircraft Structures CC</t>
        </is>
      </c>
      <c r="D168" t="inlineStr"/>
      <c r="E168" t="inlineStr">
        <is>
          <t>Unspecified</t>
        </is>
      </c>
      <c r="F168" t="inlineStr"/>
      <c r="G168" t="inlineStr">
        <is>
          <t>Low</t>
        </is>
      </c>
      <c r="H168" t="inlineStr">
        <is>
          <t>Investigate</t>
        </is>
      </c>
      <c r="I168" t="inlineStr">
        <is>
          <t>1970-01-01</t>
        </is>
      </c>
      <c r="J168" t="inlineStr"/>
      <c r="K168" t="inlineStr"/>
    </row>
    <row r="169">
      <c r="A169" t="n">
        <v>168</v>
      </c>
      <c r="B169" t="inlineStr">
        <is>
          <t>KLM Royal Dutch Airline Netherlands</t>
        </is>
      </c>
      <c r="C169" t="inlineStr">
        <is>
          <t>KLM Royal Dutch Airline Netherlands</t>
        </is>
      </c>
      <c r="D169" t="inlineStr"/>
      <c r="E169" t="inlineStr">
        <is>
          <t>Unspecified</t>
        </is>
      </c>
      <c r="F169" t="inlineStr"/>
      <c r="G169" t="inlineStr">
        <is>
          <t>Low</t>
        </is>
      </c>
      <c r="H169" t="inlineStr">
        <is>
          <t>Investigate</t>
        </is>
      </c>
      <c r="I169" t="inlineStr">
        <is>
          <t>1970-01-01</t>
        </is>
      </c>
      <c r="J169" t="inlineStr"/>
      <c r="K169" t="inlineStr"/>
    </row>
    <row r="170">
      <c r="A170" t="n">
        <v>169</v>
      </c>
      <c r="B170" t="inlineStr">
        <is>
          <t>Lady Lori Kenya Limited</t>
        </is>
      </c>
      <c r="C170" t="inlineStr">
        <is>
          <t>Lady Lori Kenya Limited</t>
        </is>
      </c>
      <c r="D170" t="inlineStr"/>
      <c r="E170" t="inlineStr">
        <is>
          <t>AMO - Heli</t>
        </is>
      </c>
      <c r="F170" t="inlineStr">
        <is>
          <t>Client</t>
        </is>
      </c>
      <c r="G170" t="inlineStr">
        <is>
          <t>Imminent</t>
        </is>
      </c>
      <c r="H170" t="inlineStr">
        <is>
          <t>Contacted - Email</t>
        </is>
      </c>
      <c r="I170" t="inlineStr">
        <is>
          <t>2025-07-22</t>
        </is>
      </c>
      <c r="J170" t="inlineStr"/>
      <c r="K170" t="inlineStr"/>
    </row>
    <row r="171">
      <c r="A171" t="n">
        <v>170</v>
      </c>
      <c r="B171" t="inlineStr">
        <is>
          <t>Lanseria Aircraft Interiors</t>
        </is>
      </c>
      <c r="C171" t="inlineStr">
        <is>
          <t>Lanseria Aircraft Interiors</t>
        </is>
      </c>
      <c r="D171" t="inlineStr"/>
      <c r="E171" t="inlineStr">
        <is>
          <t>Unspecified</t>
        </is>
      </c>
      <c r="F171" t="inlineStr"/>
      <c r="G171" t="inlineStr">
        <is>
          <t>Low</t>
        </is>
      </c>
      <c r="H171" t="inlineStr">
        <is>
          <t>Investigate</t>
        </is>
      </c>
      <c r="I171" t="inlineStr">
        <is>
          <t>1970-01-01</t>
        </is>
      </c>
      <c r="J171" t="inlineStr"/>
      <c r="K171" t="inlineStr"/>
    </row>
    <row r="172">
      <c r="A172" t="n">
        <v>171</v>
      </c>
      <c r="B172" t="inlineStr">
        <is>
          <t>Law Aero Engine Overhaul CC</t>
        </is>
      </c>
      <c r="C172" t="inlineStr">
        <is>
          <t>Law Aero Engine Overhaul CC</t>
        </is>
      </c>
      <c r="D172" t="inlineStr"/>
      <c r="E172" t="inlineStr">
        <is>
          <t>Unspecified</t>
        </is>
      </c>
      <c r="F172" t="inlineStr"/>
      <c r="G172" t="inlineStr">
        <is>
          <t>Low</t>
        </is>
      </c>
      <c r="H172" t="inlineStr">
        <is>
          <t>Investigate</t>
        </is>
      </c>
      <c r="I172" t="inlineStr">
        <is>
          <t>1970-01-01</t>
        </is>
      </c>
      <c r="J172" t="inlineStr"/>
      <c r="K172" t="inlineStr"/>
    </row>
    <row r="173">
      <c r="A173" t="n">
        <v>172</v>
      </c>
      <c r="B173" t="inlineStr">
        <is>
          <t>Leading Edge Aviation cc</t>
        </is>
      </c>
      <c r="C173" t="inlineStr">
        <is>
          <t>Leading Edge M jackson</t>
        </is>
      </c>
      <c r="D173" s="206" t="n">
        <v>45750</v>
      </c>
      <c r="E173" t="inlineStr">
        <is>
          <t>Unspecified</t>
        </is>
      </c>
      <c r="F173" t="inlineStr"/>
      <c r="G173" t="inlineStr">
        <is>
          <t>Low</t>
        </is>
      </c>
      <c r="H173" t="inlineStr">
        <is>
          <t>Investigate</t>
        </is>
      </c>
      <c r="I173" t="inlineStr">
        <is>
          <t>1970-01-01</t>
        </is>
      </c>
      <c r="J173" t="inlineStr"/>
      <c r="K173" t="inlineStr"/>
    </row>
    <row r="174">
      <c r="A174" t="n">
        <v>173</v>
      </c>
      <c r="B174" t="inlineStr">
        <is>
          <t>Leading Edge Helicopters cc</t>
        </is>
      </c>
      <c r="C174" t="inlineStr">
        <is>
          <t>Leading Edge Helicopters</t>
        </is>
      </c>
      <c r="D174" s="206" t="n">
        <v>40724</v>
      </c>
      <c r="E174" t="inlineStr">
        <is>
          <t>Unspecified</t>
        </is>
      </c>
      <c r="F174" t="inlineStr"/>
      <c r="G174" t="inlineStr">
        <is>
          <t>Low</t>
        </is>
      </c>
      <c r="H174" t="inlineStr">
        <is>
          <t>Investigate</t>
        </is>
      </c>
      <c r="I174" t="inlineStr">
        <is>
          <t>1970-01-01</t>
        </is>
      </c>
      <c r="J174" t="inlineStr"/>
      <c r="K174" t="inlineStr"/>
    </row>
    <row r="175">
      <c r="A175" t="n">
        <v>174</v>
      </c>
      <c r="B175" t="inlineStr">
        <is>
          <t>Leading Edge Maintenance</t>
        </is>
      </c>
      <c r="C175" t="inlineStr">
        <is>
          <t>Leading Edge Maintenance</t>
        </is>
      </c>
      <c r="D175" t="inlineStr"/>
      <c r="E175" t="inlineStr">
        <is>
          <t>Unspecified</t>
        </is>
      </c>
      <c r="F175" t="inlineStr"/>
      <c r="G175" t="inlineStr">
        <is>
          <t>Low</t>
        </is>
      </c>
      <c r="H175" t="inlineStr">
        <is>
          <t>Investigate</t>
        </is>
      </c>
      <c r="I175" t="inlineStr">
        <is>
          <t>1970-01-01</t>
        </is>
      </c>
      <c r="J175" t="inlineStr"/>
      <c r="K175" t="inlineStr"/>
    </row>
    <row r="176">
      <c r="A176" t="n">
        <v>175</v>
      </c>
      <c r="B176" t="inlineStr">
        <is>
          <t>LEARJET, INC (Bombardier)</t>
        </is>
      </c>
      <c r="C176" t="inlineStr">
        <is>
          <t>LEARJET, INC (Bombardier)</t>
        </is>
      </c>
      <c r="D176" t="inlineStr"/>
      <c r="E176" t="inlineStr">
        <is>
          <t>Unspecified</t>
        </is>
      </c>
      <c r="F176" t="inlineStr"/>
      <c r="G176" t="inlineStr">
        <is>
          <t>Low</t>
        </is>
      </c>
      <c r="H176" t="inlineStr">
        <is>
          <t>Investigate</t>
        </is>
      </c>
      <c r="I176" t="inlineStr">
        <is>
          <t>1970-01-01</t>
        </is>
      </c>
      <c r="J176" t="inlineStr"/>
      <c r="K176" t="inlineStr"/>
    </row>
    <row r="177">
      <c r="A177" t="n">
        <v>176</v>
      </c>
      <c r="B177" t="inlineStr">
        <is>
          <t>Lecin Spraypainting Services CC</t>
        </is>
      </c>
      <c r="C177" t="inlineStr">
        <is>
          <t>Lecin Spraypainting Services CC</t>
        </is>
      </c>
      <c r="D177" t="inlineStr"/>
      <c r="E177" t="inlineStr">
        <is>
          <t>Unspecified</t>
        </is>
      </c>
      <c r="F177" t="inlineStr"/>
      <c r="G177" t="inlineStr">
        <is>
          <t>Low</t>
        </is>
      </c>
      <c r="H177" t="inlineStr">
        <is>
          <t>Investigate</t>
        </is>
      </c>
      <c r="I177" t="inlineStr">
        <is>
          <t>1970-01-01</t>
        </is>
      </c>
      <c r="J177" t="inlineStr"/>
      <c r="K177" t="inlineStr"/>
    </row>
    <row r="178">
      <c r="A178" t="n">
        <v>177</v>
      </c>
      <c r="B178" t="inlineStr">
        <is>
          <t>Lelani</t>
        </is>
      </c>
      <c r="C178" t="inlineStr">
        <is>
          <t>Lelani</t>
        </is>
      </c>
      <c r="D178" t="inlineStr"/>
      <c r="E178" t="inlineStr">
        <is>
          <t>Unspecified</t>
        </is>
      </c>
      <c r="F178" t="inlineStr"/>
      <c r="G178" t="inlineStr">
        <is>
          <t>Low</t>
        </is>
      </c>
      <c r="H178" t="inlineStr">
        <is>
          <t>Investigate</t>
        </is>
      </c>
      <c r="I178" t="inlineStr">
        <is>
          <t>1970-01-01</t>
        </is>
      </c>
      <c r="J178" t="inlineStr"/>
      <c r="K178" t="inlineStr"/>
    </row>
    <row r="179">
      <c r="A179" t="n">
        <v>178</v>
      </c>
      <c r="B179" t="inlineStr">
        <is>
          <t>Lloyd’s of London</t>
        </is>
      </c>
      <c r="C179" t="inlineStr">
        <is>
          <t>Lloyd’s of London</t>
        </is>
      </c>
      <c r="D179" t="inlineStr"/>
      <c r="E179" t="inlineStr">
        <is>
          <t>Underwriter</t>
        </is>
      </c>
      <c r="F179" t="inlineStr">
        <is>
          <t>Approved Supplier</t>
        </is>
      </c>
      <c r="G179" t="inlineStr">
        <is>
          <t>Low</t>
        </is>
      </c>
      <c r="H179" t="inlineStr">
        <is>
          <t>Unknown</t>
        </is>
      </c>
      <c r="I179" t="inlineStr">
        <is>
          <t>1970-01-01</t>
        </is>
      </c>
      <c r="J179" t="inlineStr"/>
      <c r="K179" t="inlineStr"/>
    </row>
    <row r="180">
      <c r="A180" t="n">
        <v>179</v>
      </c>
      <c r="B180" t="inlineStr">
        <is>
          <t>Lowveld Aircraft Services CC</t>
        </is>
      </c>
      <c r="C180" t="inlineStr">
        <is>
          <t>Lowveld Aircraft Services cc</t>
        </is>
      </c>
      <c r="D180" s="206" t="n">
        <v>40395</v>
      </c>
      <c r="E180" t="inlineStr">
        <is>
          <t>AMO</t>
        </is>
      </c>
      <c r="F180" t="inlineStr">
        <is>
          <t>Convert - Serial Number</t>
        </is>
      </c>
      <c r="G180" t="inlineStr">
        <is>
          <t>Medium</t>
        </is>
      </c>
      <c r="H180" t="inlineStr">
        <is>
          <t>NTC</t>
        </is>
      </c>
      <c r="I180" t="inlineStr">
        <is>
          <t>2010-09-06</t>
        </is>
      </c>
      <c r="J180" t="n">
        <v>1</v>
      </c>
      <c r="K180" t="inlineStr"/>
    </row>
    <row r="181">
      <c r="A181" t="n">
        <v>180</v>
      </c>
      <c r="B181" t="inlineStr">
        <is>
          <t>Lufthansa Technik SA</t>
        </is>
      </c>
      <c r="C181" t="inlineStr">
        <is>
          <t>Lufthansa Technik SA</t>
        </is>
      </c>
      <c r="D181" t="inlineStr"/>
      <c r="E181" t="inlineStr">
        <is>
          <t>Unspecified</t>
        </is>
      </c>
      <c r="F181" t="inlineStr"/>
      <c r="G181" t="inlineStr">
        <is>
          <t>Low</t>
        </is>
      </c>
      <c r="H181" t="inlineStr">
        <is>
          <t>Investigate</t>
        </is>
      </c>
      <c r="I181" t="inlineStr">
        <is>
          <t>1970-01-01</t>
        </is>
      </c>
      <c r="J181" t="inlineStr"/>
      <c r="K181" t="inlineStr"/>
    </row>
    <row r="182">
      <c r="A182" t="n">
        <v>181</v>
      </c>
      <c r="B182" t="inlineStr">
        <is>
          <t>Lufthanza Technik AG</t>
        </is>
      </c>
      <c r="C182" t="inlineStr">
        <is>
          <t>Lufthanza Technik AG</t>
        </is>
      </c>
      <c r="D182" t="inlineStr"/>
      <c r="E182" t="inlineStr">
        <is>
          <t>Unspecified</t>
        </is>
      </c>
      <c r="F182" t="inlineStr"/>
      <c r="G182" t="inlineStr">
        <is>
          <t>Low</t>
        </is>
      </c>
      <c r="H182" t="inlineStr">
        <is>
          <t>Investigate</t>
        </is>
      </c>
      <c r="I182" t="inlineStr">
        <is>
          <t>1970-01-01</t>
        </is>
      </c>
      <c r="J182" t="inlineStr"/>
      <c r="K182" t="inlineStr"/>
    </row>
    <row r="183">
      <c r="A183" t="n">
        <v>182</v>
      </c>
      <c r="B183" t="inlineStr">
        <is>
          <t>M.S. SPECIALISED WELDING</t>
        </is>
      </c>
      <c r="C183" t="inlineStr">
        <is>
          <t>M.S. SPECIALISED WELDING</t>
        </is>
      </c>
      <c r="D183" t="inlineStr"/>
      <c r="E183" t="inlineStr">
        <is>
          <t>Unspecified</t>
        </is>
      </c>
      <c r="F183" t="inlineStr"/>
      <c r="G183" t="inlineStr">
        <is>
          <t>Low</t>
        </is>
      </c>
      <c r="H183" t="inlineStr">
        <is>
          <t>Investigate</t>
        </is>
      </c>
      <c r="I183" t="inlineStr">
        <is>
          <t>1970-01-01</t>
        </is>
      </c>
      <c r="J183" t="inlineStr"/>
      <c r="K183" t="inlineStr"/>
    </row>
    <row r="184">
      <c r="A184" t="n">
        <v>183</v>
      </c>
      <c r="B184" t="inlineStr">
        <is>
          <t>Mac Air NDT Solutions</t>
        </is>
      </c>
      <c r="C184" t="inlineStr">
        <is>
          <t>Mac Air NDT Solutions</t>
        </is>
      </c>
      <c r="D184" t="inlineStr"/>
      <c r="E184" t="inlineStr">
        <is>
          <t>Unspecified</t>
        </is>
      </c>
      <c r="F184" t="inlineStr"/>
      <c r="G184" t="inlineStr">
        <is>
          <t>Low</t>
        </is>
      </c>
      <c r="H184" t="inlineStr">
        <is>
          <t>Investigate</t>
        </is>
      </c>
      <c r="I184" t="inlineStr">
        <is>
          <t>1970-01-01</t>
        </is>
      </c>
      <c r="J184" t="inlineStr"/>
      <c r="K184" t="inlineStr"/>
    </row>
    <row r="185">
      <c r="A185" t="n">
        <v>184</v>
      </c>
      <c r="B185" t="inlineStr">
        <is>
          <t>Margate Aircraft Services t/a Midcoast Air</t>
        </is>
      </c>
      <c r="C185" t="inlineStr">
        <is>
          <t>Margate Aircraft Services t/a Midcoast Air</t>
        </is>
      </c>
      <c r="D185" t="inlineStr"/>
      <c r="E185" t="inlineStr">
        <is>
          <t>Unspecified</t>
        </is>
      </c>
      <c r="F185" t="inlineStr"/>
      <c r="G185" t="inlineStr">
        <is>
          <t>Low</t>
        </is>
      </c>
      <c r="H185" t="inlineStr">
        <is>
          <t>Investigate</t>
        </is>
      </c>
      <c r="I185" t="inlineStr">
        <is>
          <t>1970-01-01</t>
        </is>
      </c>
      <c r="J185" t="inlineStr"/>
      <c r="K185" t="inlineStr"/>
    </row>
    <row r="186">
      <c r="A186" t="n">
        <v>185</v>
      </c>
      <c r="B186" t="inlineStr">
        <is>
          <t>Marsh SA (Marsh &amp; McLennan)</t>
        </is>
      </c>
      <c r="C186" t="inlineStr">
        <is>
          <t>Marsh SA (Marsh &amp; McLennan)</t>
        </is>
      </c>
      <c r="D186" t="inlineStr"/>
      <c r="E186" t="inlineStr">
        <is>
          <t>Brokers</t>
        </is>
      </c>
      <c r="F186" t="inlineStr">
        <is>
          <t>Approved Supplier</t>
        </is>
      </c>
      <c r="G186" t="inlineStr">
        <is>
          <t>Low</t>
        </is>
      </c>
      <c r="H186" t="inlineStr">
        <is>
          <t>Unknown</t>
        </is>
      </c>
      <c r="I186" t="inlineStr">
        <is>
          <t>1970-01-01</t>
        </is>
      </c>
      <c r="J186" t="inlineStr"/>
      <c r="K186" t="inlineStr"/>
    </row>
    <row r="187">
      <c r="A187" t="n">
        <v>186</v>
      </c>
      <c r="B187" t="inlineStr">
        <is>
          <t>Master Tech Aircraft Maintenance</t>
        </is>
      </c>
      <c r="C187" t="inlineStr">
        <is>
          <t>Master Tech Aircraft Maintenance</t>
        </is>
      </c>
      <c r="D187" t="inlineStr"/>
      <c r="E187" t="inlineStr">
        <is>
          <t>Unspecified</t>
        </is>
      </c>
      <c r="F187" t="inlineStr"/>
      <c r="G187" t="inlineStr">
        <is>
          <t>Low</t>
        </is>
      </c>
      <c r="H187" t="inlineStr">
        <is>
          <t>Investigate</t>
        </is>
      </c>
      <c r="I187" t="inlineStr">
        <is>
          <t>1970-01-01</t>
        </is>
      </c>
      <c r="J187" t="inlineStr"/>
      <c r="K187" t="inlineStr"/>
    </row>
    <row r="188">
      <c r="A188" t="n">
        <v>187</v>
      </c>
      <c r="B188" t="inlineStr">
        <is>
          <t>MCC Aviation(PTY) Ltd</t>
        </is>
      </c>
      <c r="C188" t="inlineStr">
        <is>
          <t>MCC Aviation(PTY) Ltd</t>
        </is>
      </c>
      <c r="D188" t="inlineStr"/>
      <c r="E188" t="inlineStr">
        <is>
          <t>AMO - Heli</t>
        </is>
      </c>
      <c r="F188" t="inlineStr">
        <is>
          <t>Client</t>
        </is>
      </c>
      <c r="G188" t="inlineStr">
        <is>
          <t>Imminent</t>
        </is>
      </c>
      <c r="H188" t="inlineStr">
        <is>
          <t>Contacted - Email</t>
        </is>
      </c>
      <c r="I188" t="inlineStr">
        <is>
          <t>2025-07-22</t>
        </is>
      </c>
      <c r="J188" t="inlineStr"/>
      <c r="K188" t="inlineStr"/>
    </row>
    <row r="189">
      <c r="A189" t="n">
        <v>188</v>
      </c>
      <c r="B189" t="inlineStr">
        <is>
          <t>Mercy Air SA</t>
        </is>
      </c>
      <c r="C189" t="inlineStr">
        <is>
          <t>Mercy Air SA</t>
        </is>
      </c>
      <c r="D189" t="inlineStr"/>
      <c r="E189" t="inlineStr">
        <is>
          <t>Unspecified</t>
        </is>
      </c>
      <c r="F189" t="inlineStr"/>
      <c r="G189" t="inlineStr">
        <is>
          <t>Low</t>
        </is>
      </c>
      <c r="H189" t="inlineStr">
        <is>
          <t>Investigate</t>
        </is>
      </c>
      <c r="I189" t="inlineStr">
        <is>
          <t>1970-01-01</t>
        </is>
      </c>
      <c r="J189" t="inlineStr"/>
      <c r="K189" t="inlineStr"/>
    </row>
    <row r="190">
      <c r="A190" t="n">
        <v>189</v>
      </c>
      <c r="B190" t="inlineStr">
        <is>
          <t>Mideast Aviation (Pty) Ltd</t>
        </is>
      </c>
      <c r="C190" t="inlineStr">
        <is>
          <t>Mideast Aviation (Pty) Ltd</t>
        </is>
      </c>
      <c r="D190" t="inlineStr"/>
      <c r="E190" t="inlineStr">
        <is>
          <t>Unspecified</t>
        </is>
      </c>
      <c r="F190" t="inlineStr"/>
      <c r="G190" t="inlineStr">
        <is>
          <t>Low</t>
        </is>
      </c>
      <c r="H190" t="inlineStr">
        <is>
          <t>Investigate</t>
        </is>
      </c>
      <c r="I190" t="inlineStr">
        <is>
          <t>1970-01-01</t>
        </is>
      </c>
      <c r="J190" t="inlineStr"/>
      <c r="K190" t="inlineStr"/>
    </row>
    <row r="191">
      <c r="A191" t="n">
        <v>190</v>
      </c>
      <c r="B191" t="inlineStr">
        <is>
          <t>Mistral Aviation Services (Pty) Ltd</t>
        </is>
      </c>
      <c r="C191" t="inlineStr">
        <is>
          <t>Mistral Aviation Services (Pty) Ltd</t>
        </is>
      </c>
      <c r="D191" t="inlineStr"/>
      <c r="E191" t="inlineStr">
        <is>
          <t>Unspecified</t>
        </is>
      </c>
      <c r="F191" t="inlineStr"/>
      <c r="G191" t="inlineStr">
        <is>
          <t>Low</t>
        </is>
      </c>
      <c r="H191" t="inlineStr">
        <is>
          <t>Investigate</t>
        </is>
      </c>
      <c r="I191" t="inlineStr">
        <is>
          <t>1970-01-01</t>
        </is>
      </c>
      <c r="J191" t="inlineStr"/>
      <c r="K191" t="inlineStr"/>
    </row>
    <row r="192">
      <c r="A192" t="n">
        <v>191</v>
      </c>
      <c r="B192" t="inlineStr">
        <is>
          <t>Mkuze Aircraft Maintenance</t>
        </is>
      </c>
      <c r="C192" t="inlineStr">
        <is>
          <t>Mkuze Aircraft Maintenance</t>
        </is>
      </c>
      <c r="D192" t="inlineStr"/>
      <c r="E192" t="inlineStr">
        <is>
          <t>Unspecified</t>
        </is>
      </c>
      <c r="F192" t="inlineStr"/>
      <c r="G192" t="inlineStr">
        <is>
          <t>Low</t>
        </is>
      </c>
      <c r="H192" t="inlineStr">
        <is>
          <t>Investigate</t>
        </is>
      </c>
      <c r="I192" t="inlineStr">
        <is>
          <t>1970-01-01</t>
        </is>
      </c>
      <c r="J192" t="inlineStr"/>
      <c r="K192" t="inlineStr"/>
    </row>
    <row r="193">
      <c r="A193" t="n">
        <v>192</v>
      </c>
      <c r="B193" t="inlineStr">
        <is>
          <t>MOBBS PROPERTIES CC T/A Aircraft Assembly
&amp; Upholstery Centre</t>
        </is>
      </c>
      <c r="C193" t="inlineStr">
        <is>
          <t>MOBBS PROPERTIES CC T/A Aircraft Assembly
&amp; Upholstery Centre</t>
        </is>
      </c>
      <c r="D193" t="inlineStr"/>
      <c r="E193" t="inlineStr">
        <is>
          <t>Unspecified</t>
        </is>
      </c>
      <c r="F193" t="inlineStr"/>
      <c r="G193" t="inlineStr">
        <is>
          <t>Low</t>
        </is>
      </c>
      <c r="H193" t="inlineStr">
        <is>
          <t>Investigate</t>
        </is>
      </c>
      <c r="I193" t="inlineStr">
        <is>
          <t>1970-01-01</t>
        </is>
      </c>
      <c r="J193" t="inlineStr"/>
      <c r="K193" t="inlineStr"/>
    </row>
    <row r="194">
      <c r="A194" t="n">
        <v>193</v>
      </c>
      <c r="B194" t="inlineStr">
        <is>
          <t>MPT  Maintenance (PTY)LTD</t>
        </is>
      </c>
      <c r="C194" t="inlineStr">
        <is>
          <t>MPT  Maintenance (PTY)LTD</t>
        </is>
      </c>
      <c r="D194" t="inlineStr"/>
      <c r="E194" t="inlineStr">
        <is>
          <t>Unspecified</t>
        </is>
      </c>
      <c r="F194" t="inlineStr"/>
      <c r="G194" t="inlineStr">
        <is>
          <t>Low</t>
        </is>
      </c>
      <c r="H194" t="inlineStr">
        <is>
          <t>Investigate</t>
        </is>
      </c>
      <c r="I194" t="inlineStr">
        <is>
          <t>1970-01-01</t>
        </is>
      </c>
      <c r="J194" t="inlineStr"/>
      <c r="K194" t="inlineStr"/>
    </row>
    <row r="195">
      <c r="A195" t="n">
        <v>194</v>
      </c>
      <c r="B195" t="inlineStr">
        <is>
          <t>A1 Bakkie Spares</t>
        </is>
      </c>
      <c r="C195" t="inlineStr">
        <is>
          <t>ms A1 Bakkie Spares</t>
        </is>
      </c>
      <c r="D195" s="206" t="n">
        <v>45201</v>
      </c>
      <c r="E195" t="inlineStr">
        <is>
          <t>Motorsport</t>
        </is>
      </c>
      <c r="F195" t="inlineStr"/>
      <c r="G195" t="inlineStr">
        <is>
          <t>Low</t>
        </is>
      </c>
      <c r="H195" t="inlineStr">
        <is>
          <t>Unknown</t>
        </is>
      </c>
      <c r="I195" t="inlineStr">
        <is>
          <t>1970-01-01</t>
        </is>
      </c>
      <c r="J195" t="inlineStr"/>
      <c r="K195" t="inlineStr"/>
    </row>
    <row r="196">
      <c r="A196" t="n">
        <v>195</v>
      </c>
      <c r="B196" t="inlineStr">
        <is>
          <t>MTU Maintenance Berlin - Brandenburg
GmbH</t>
        </is>
      </c>
      <c r="C196" t="inlineStr">
        <is>
          <t>MTU Maintenance Berlin - Brandenburg
GmbH</t>
        </is>
      </c>
      <c r="D196" t="inlineStr"/>
      <c r="E196" t="inlineStr">
        <is>
          <t>Unspecified</t>
        </is>
      </c>
      <c r="F196" t="inlineStr"/>
      <c r="G196" t="inlineStr">
        <is>
          <t>Low</t>
        </is>
      </c>
      <c r="H196" t="inlineStr">
        <is>
          <t>Investigate</t>
        </is>
      </c>
      <c r="I196" t="inlineStr">
        <is>
          <t>1970-01-01</t>
        </is>
      </c>
      <c r="J196" t="inlineStr"/>
      <c r="K196" t="inlineStr"/>
    </row>
    <row r="197">
      <c r="A197" t="n">
        <v>196</v>
      </c>
      <c r="B197" t="inlineStr">
        <is>
          <t>MTU Maintenance Hannover GmbH</t>
        </is>
      </c>
      <c r="C197" t="inlineStr">
        <is>
          <t>MTU Maintenance Hannover GmbH</t>
        </is>
      </c>
      <c r="D197" t="inlineStr"/>
      <c r="E197" t="inlineStr">
        <is>
          <t>Unspecified</t>
        </is>
      </c>
      <c r="F197" t="inlineStr"/>
      <c r="G197" t="inlineStr">
        <is>
          <t>Low</t>
        </is>
      </c>
      <c r="H197" t="inlineStr">
        <is>
          <t>Investigate</t>
        </is>
      </c>
      <c r="I197" t="inlineStr">
        <is>
          <t>1970-01-01</t>
        </is>
      </c>
      <c r="J197" t="inlineStr"/>
      <c r="K197" t="inlineStr">
        <is>
          <t>https://flymcc.co.za/our-services/#amo</t>
        </is>
      </c>
    </row>
    <row r="198">
      <c r="A198" t="n">
        <v>197</v>
      </c>
      <c r="B198" t="inlineStr">
        <is>
          <t>N3 Engine Overhaul services</t>
        </is>
      </c>
      <c r="C198" t="inlineStr">
        <is>
          <t>N3 Engine Overhaul services</t>
        </is>
      </c>
      <c r="D198" t="inlineStr"/>
      <c r="E198" t="inlineStr">
        <is>
          <t>Unspecified</t>
        </is>
      </c>
      <c r="F198" t="inlineStr"/>
      <c r="G198" t="inlineStr">
        <is>
          <t>Low</t>
        </is>
      </c>
      <c r="H198" t="inlineStr">
        <is>
          <t>Investigate</t>
        </is>
      </c>
      <c r="I198" t="inlineStr">
        <is>
          <t>1970-01-01</t>
        </is>
      </c>
      <c r="J198" t="inlineStr"/>
      <c r="K198" t="inlineStr"/>
    </row>
    <row r="199">
      <c r="A199" t="n">
        <v>198</v>
      </c>
      <c r="B199" t="inlineStr">
        <is>
          <t>NAC Helicopter Division</t>
        </is>
      </c>
      <c r="C199" t="inlineStr">
        <is>
          <t>NAC  rand Helicopters</t>
        </is>
      </c>
      <c r="D199" s="206" t="n">
        <v>45363</v>
      </c>
      <c r="E199" t="inlineStr">
        <is>
          <t>Unspecified</t>
        </is>
      </c>
      <c r="F199" t="inlineStr"/>
      <c r="G199" t="inlineStr">
        <is>
          <t>Low</t>
        </is>
      </c>
      <c r="H199" t="inlineStr">
        <is>
          <t>Last Order</t>
        </is>
      </c>
      <c r="I199" t="inlineStr">
        <is>
          <t>2024-03-26</t>
        </is>
      </c>
      <c r="J199" t="inlineStr"/>
      <c r="K199" t="inlineStr">
        <is>
          <t>https://www.flyladylori.com/africa-by-air/fixed-base-operation/</t>
        </is>
      </c>
    </row>
    <row r="200">
      <c r="A200" t="n">
        <v>199</v>
      </c>
      <c r="B200" t="inlineStr">
        <is>
          <t>NAC Lanseria</t>
        </is>
      </c>
      <c r="C200" t="inlineStr">
        <is>
          <t>NAC engine Lanseria</t>
        </is>
      </c>
      <c r="D200" s="206" t="n">
        <v>36782</v>
      </c>
      <c r="E200" t="inlineStr">
        <is>
          <t>Unspecified</t>
        </is>
      </c>
      <c r="F200" t="inlineStr"/>
      <c r="G200" t="inlineStr">
        <is>
          <t>Low</t>
        </is>
      </c>
      <c r="H200" t="inlineStr">
        <is>
          <t>Investigate</t>
        </is>
      </c>
      <c r="I200" t="inlineStr">
        <is>
          <t>1970-01-01</t>
        </is>
      </c>
      <c r="J200" t="inlineStr"/>
      <c r="K200" t="inlineStr"/>
    </row>
    <row r="201">
      <c r="A201" t="n">
        <v>200</v>
      </c>
      <c r="B201" t="inlineStr">
        <is>
          <t>Namibia Instruments &amp; Avionic Sales and Repairs CC</t>
        </is>
      </c>
      <c r="C201" t="inlineStr">
        <is>
          <t>Namibia Instruments &amp; Avionic Sales and Repairs CC</t>
        </is>
      </c>
      <c r="D201" t="inlineStr"/>
      <c r="E201" t="inlineStr">
        <is>
          <t>Unspecified</t>
        </is>
      </c>
      <c r="F201" t="inlineStr"/>
      <c r="G201" t="inlineStr">
        <is>
          <t>Low</t>
        </is>
      </c>
      <c r="H201" t="inlineStr">
        <is>
          <t>Investigate</t>
        </is>
      </c>
      <c r="I201" t="inlineStr">
        <is>
          <t>1970-01-01</t>
        </is>
      </c>
      <c r="J201" t="inlineStr"/>
      <c r="K201" t="inlineStr"/>
    </row>
    <row r="202">
      <c r="A202" t="n">
        <v>201</v>
      </c>
      <c r="B202" t="inlineStr">
        <is>
          <t>Natsure (Guardrisk)</t>
        </is>
      </c>
      <c r="C202" t="inlineStr">
        <is>
          <t>Natsure (Guardrisk)</t>
        </is>
      </c>
      <c r="D202" t="inlineStr"/>
      <c r="E202" t="inlineStr">
        <is>
          <t>Underwriter</t>
        </is>
      </c>
      <c r="F202" t="inlineStr">
        <is>
          <t>Approved Supplier</t>
        </is>
      </c>
      <c r="G202" t="inlineStr">
        <is>
          <t>Low</t>
        </is>
      </c>
      <c r="H202" t="inlineStr">
        <is>
          <t>Unknown</t>
        </is>
      </c>
      <c r="I202" t="inlineStr">
        <is>
          <t>1970-01-01</t>
        </is>
      </c>
      <c r="J202" t="inlineStr"/>
      <c r="K202" t="inlineStr"/>
    </row>
    <row r="203">
      <c r="A203" t="n">
        <v>202</v>
      </c>
      <c r="B203" t="inlineStr">
        <is>
          <t>Nebraska Gas Turbine Inc</t>
        </is>
      </c>
      <c r="C203" t="inlineStr">
        <is>
          <t>Nebraska Gas Turbine Inc</t>
        </is>
      </c>
      <c r="D203" t="inlineStr"/>
      <c r="E203" t="inlineStr">
        <is>
          <t>Unspecified</t>
        </is>
      </c>
      <c r="F203" t="inlineStr"/>
      <c r="G203" t="inlineStr">
        <is>
          <t>Low</t>
        </is>
      </c>
      <c r="H203" t="inlineStr">
        <is>
          <t>Investigate</t>
        </is>
      </c>
      <c r="I203" t="inlineStr">
        <is>
          <t>1970-01-01</t>
        </is>
      </c>
      <c r="J203" t="inlineStr"/>
      <c r="K203" t="inlineStr"/>
    </row>
    <row r="204">
      <c r="A204" t="n">
        <v>203</v>
      </c>
      <c r="B204" t="inlineStr">
        <is>
          <t>Nevergreen Aircraft Industries</t>
        </is>
      </c>
      <c r="C204" t="inlineStr">
        <is>
          <t>Nevergreen Aircraft Industries</t>
        </is>
      </c>
      <c r="D204" t="inlineStr"/>
      <c r="E204" t="inlineStr">
        <is>
          <t>Unspecified</t>
        </is>
      </c>
      <c r="F204" t="inlineStr"/>
      <c r="G204" t="inlineStr">
        <is>
          <t>Low</t>
        </is>
      </c>
      <c r="H204" t="inlineStr">
        <is>
          <t>Investigate</t>
        </is>
      </c>
      <c r="I204" t="inlineStr">
        <is>
          <t>1970-01-01</t>
        </is>
      </c>
      <c r="J204" t="inlineStr"/>
      <c r="K204" t="inlineStr"/>
    </row>
    <row r="205">
      <c r="A205" t="n">
        <v>204</v>
      </c>
      <c r="B205" t="inlineStr">
        <is>
          <t>Nicholson Helicopters CC</t>
        </is>
      </c>
      <c r="C205" t="inlineStr">
        <is>
          <t>Nicholson Helicopters CC</t>
        </is>
      </c>
      <c r="D205" t="inlineStr"/>
      <c r="E205" t="inlineStr">
        <is>
          <t>Unspecified</t>
        </is>
      </c>
      <c r="F205" t="inlineStr"/>
      <c r="G205" t="inlineStr">
        <is>
          <t>Low</t>
        </is>
      </c>
      <c r="H205" t="inlineStr">
        <is>
          <t>Investigate</t>
        </is>
      </c>
      <c r="I205" t="inlineStr">
        <is>
          <t>1970-01-01</t>
        </is>
      </c>
      <c r="J205" t="inlineStr"/>
      <c r="K205" t="inlineStr"/>
    </row>
    <row r="206">
      <c r="A206" t="n">
        <v>205</v>
      </c>
      <c r="B206" t="inlineStr">
        <is>
          <t>Normair</t>
        </is>
      </c>
      <c r="C206" t="inlineStr">
        <is>
          <t>Normair</t>
        </is>
      </c>
      <c r="D206" t="inlineStr"/>
      <c r="E206" t="inlineStr">
        <is>
          <t>Unspecified</t>
        </is>
      </c>
      <c r="F206" t="inlineStr"/>
      <c r="G206" t="inlineStr">
        <is>
          <t>Low</t>
        </is>
      </c>
      <c r="H206" t="inlineStr">
        <is>
          <t>Investigate</t>
        </is>
      </c>
      <c r="I206" t="inlineStr">
        <is>
          <t>1970-01-01</t>
        </is>
      </c>
      <c r="J206" t="inlineStr"/>
      <c r="K206" t="inlineStr"/>
    </row>
    <row r="207">
      <c r="A207" t="n">
        <v>206</v>
      </c>
      <c r="B207" t="inlineStr">
        <is>
          <t>North Cape Aviation</t>
        </is>
      </c>
      <c r="C207" t="inlineStr">
        <is>
          <t>North Cape Aviation</t>
        </is>
      </c>
      <c r="D207" t="inlineStr"/>
      <c r="E207" t="inlineStr">
        <is>
          <t>Unspecified</t>
        </is>
      </c>
      <c r="F207" t="inlineStr"/>
      <c r="G207" t="inlineStr">
        <is>
          <t>Low</t>
        </is>
      </c>
      <c r="H207" t="inlineStr">
        <is>
          <t>Investigate</t>
        </is>
      </c>
      <c r="I207" t="inlineStr">
        <is>
          <t>1970-01-01</t>
        </is>
      </c>
      <c r="J207" t="inlineStr"/>
      <c r="K207" t="inlineStr"/>
    </row>
    <row r="208">
      <c r="A208" t="n">
        <v>207</v>
      </c>
      <c r="B208" t="inlineStr">
        <is>
          <t>North East Avionics CC</t>
        </is>
      </c>
      <c r="C208" t="inlineStr">
        <is>
          <t>North East Avionics CC</t>
        </is>
      </c>
      <c r="D208" t="inlineStr"/>
      <c r="E208" t="inlineStr">
        <is>
          <t>Unspecified</t>
        </is>
      </c>
      <c r="F208" t="inlineStr"/>
      <c r="G208" t="inlineStr">
        <is>
          <t>Low</t>
        </is>
      </c>
      <c r="H208" t="inlineStr">
        <is>
          <t>Investigate</t>
        </is>
      </c>
      <c r="I208" t="inlineStr">
        <is>
          <t>1970-01-01</t>
        </is>
      </c>
      <c r="J208" t="inlineStr"/>
      <c r="K208" t="inlineStr"/>
    </row>
    <row r="209">
      <c r="A209" t="n">
        <v>208</v>
      </c>
      <c r="B209" t="inlineStr">
        <is>
          <t>NRG EXPLORATION CC</t>
        </is>
      </c>
      <c r="C209" t="inlineStr">
        <is>
          <t>NRG EXPLORATION CC</t>
        </is>
      </c>
      <c r="D209" t="inlineStr"/>
      <c r="E209" t="inlineStr">
        <is>
          <t>Unspecified</t>
        </is>
      </c>
      <c r="F209" t="inlineStr"/>
      <c r="G209" t="inlineStr">
        <is>
          <t>Low</t>
        </is>
      </c>
      <c r="H209" t="inlineStr">
        <is>
          <t>Investigate</t>
        </is>
      </c>
      <c r="I209" t="inlineStr">
        <is>
          <t>1970-01-01</t>
        </is>
      </c>
      <c r="J209" t="inlineStr"/>
      <c r="K209" t="inlineStr"/>
    </row>
    <row r="210">
      <c r="A210" t="n">
        <v>209</v>
      </c>
      <c r="B210" t="inlineStr">
        <is>
          <t>NYELETI TECHNOLOGIES</t>
        </is>
      </c>
      <c r="C210" t="inlineStr">
        <is>
          <t>NYELETI TECHNOLOGIES</t>
        </is>
      </c>
      <c r="D210" t="inlineStr"/>
      <c r="E210" t="inlineStr">
        <is>
          <t>Unspecified</t>
        </is>
      </c>
      <c r="F210" t="inlineStr"/>
      <c r="G210" t="inlineStr">
        <is>
          <t>Low</t>
        </is>
      </c>
      <c r="H210" t="inlineStr">
        <is>
          <t>Investigate</t>
        </is>
      </c>
      <c r="I210" t="inlineStr">
        <is>
          <t>1970-01-01</t>
        </is>
      </c>
      <c r="J210" t="inlineStr"/>
      <c r="K210" t="inlineStr"/>
    </row>
    <row r="211">
      <c r="A211" t="n">
        <v>210</v>
      </c>
      <c r="B211" t="inlineStr">
        <is>
          <t>Old Mutual Insure</t>
        </is>
      </c>
      <c r="C211" t="inlineStr">
        <is>
          <t>Old Mutual Insure</t>
        </is>
      </c>
      <c r="D211" t="inlineStr"/>
      <c r="E211" t="inlineStr">
        <is>
          <t>Insurance</t>
        </is>
      </c>
      <c r="F211" t="inlineStr">
        <is>
          <t>Approved Supplier</t>
        </is>
      </c>
      <c r="G211" t="inlineStr">
        <is>
          <t>Low</t>
        </is>
      </c>
      <c r="H211" t="inlineStr">
        <is>
          <t>Unknown</t>
        </is>
      </c>
      <c r="I211" t="inlineStr">
        <is>
          <t>1970-01-01</t>
        </is>
      </c>
      <c r="J211" t="inlineStr"/>
      <c r="K211" t="inlineStr"/>
    </row>
    <row r="212">
      <c r="A212" t="n">
        <v>211</v>
      </c>
      <c r="B212" t="inlineStr">
        <is>
          <t>Omnipless Manufacturing (Pty) Ltd</t>
        </is>
      </c>
      <c r="C212" t="inlineStr">
        <is>
          <t>Omni</t>
        </is>
      </c>
      <c r="D212" s="206" t="n">
        <v>40052</v>
      </c>
      <c r="E212" t="inlineStr">
        <is>
          <t>Unspecified</t>
        </is>
      </c>
      <c r="F212" t="inlineStr"/>
      <c r="G212" t="inlineStr">
        <is>
          <t>Low</t>
        </is>
      </c>
      <c r="H212" t="inlineStr">
        <is>
          <t>Investigate</t>
        </is>
      </c>
      <c r="I212" t="inlineStr">
        <is>
          <t>1970-01-01</t>
        </is>
      </c>
      <c r="J212" t="inlineStr"/>
      <c r="K212" t="inlineStr"/>
    </row>
    <row r="213">
      <c r="A213" t="n">
        <v>212</v>
      </c>
      <c r="B213" t="inlineStr">
        <is>
          <t>Oribi Flying Services Maintenance (Pty) Ltd</t>
        </is>
      </c>
      <c r="C213" t="inlineStr">
        <is>
          <t>Oribi</t>
        </is>
      </c>
      <c r="D213" s="206" t="n">
        <v>39716</v>
      </c>
      <c r="E213" t="inlineStr">
        <is>
          <t>Unspecified</t>
        </is>
      </c>
      <c r="F213" t="inlineStr"/>
      <c r="G213" t="inlineStr">
        <is>
          <t>Low</t>
        </is>
      </c>
      <c r="H213" t="inlineStr">
        <is>
          <t>Investigate</t>
        </is>
      </c>
      <c r="I213" t="inlineStr">
        <is>
          <t>1970-01-01</t>
        </is>
      </c>
      <c r="J213" t="inlineStr"/>
      <c r="K213" t="inlineStr"/>
    </row>
    <row r="214">
      <c r="A214" t="n">
        <v>213</v>
      </c>
      <c r="B214" t="inlineStr">
        <is>
          <t>Orsmond Aerial Spray (Pty) Ltd</t>
        </is>
      </c>
      <c r="C214" t="inlineStr">
        <is>
          <t>Orsmond Aerial Spray (Pty) Ltd</t>
        </is>
      </c>
      <c r="D214" t="inlineStr"/>
      <c r="E214" t="inlineStr">
        <is>
          <t>Unspecified</t>
        </is>
      </c>
      <c r="F214" t="inlineStr"/>
      <c r="G214" t="inlineStr">
        <is>
          <t>Low</t>
        </is>
      </c>
      <c r="H214" t="inlineStr">
        <is>
          <t>Investigate</t>
        </is>
      </c>
      <c r="I214" t="inlineStr">
        <is>
          <t>1970-01-01</t>
        </is>
      </c>
      <c r="J214" t="inlineStr"/>
      <c r="K214" t="inlineStr"/>
    </row>
    <row r="215">
      <c r="A215" t="n">
        <v>214</v>
      </c>
      <c r="B215" t="inlineStr">
        <is>
          <t>Orsmond Aviation</t>
        </is>
      </c>
      <c r="C215" t="inlineStr">
        <is>
          <t>Orsmond Aviation</t>
        </is>
      </c>
      <c r="D215" t="inlineStr"/>
      <c r="E215" t="inlineStr">
        <is>
          <t>AMO</t>
        </is>
      </c>
      <c r="F215" t="inlineStr">
        <is>
          <t>Partnership</t>
        </is>
      </c>
      <c r="G215" t="inlineStr">
        <is>
          <t>Medium</t>
        </is>
      </c>
      <c r="H215" t="inlineStr">
        <is>
          <t>NTC</t>
        </is>
      </c>
      <c r="I215" t="inlineStr">
        <is>
          <t>2025-07-21</t>
        </is>
      </c>
      <c r="J215" t="inlineStr"/>
      <c r="K215" t="inlineStr"/>
    </row>
    <row r="216">
      <c r="A216" t="n">
        <v>215</v>
      </c>
      <c r="B216" t="inlineStr">
        <is>
          <t>Paramount Aerospace Systems</t>
        </is>
      </c>
      <c r="C216" t="inlineStr">
        <is>
          <t>Paramount Aerospace Systems</t>
        </is>
      </c>
      <c r="D216" t="inlineStr"/>
      <c r="E216" t="inlineStr">
        <is>
          <t>Unspecified</t>
        </is>
      </c>
      <c r="F216" t="inlineStr"/>
      <c r="G216" t="inlineStr">
        <is>
          <t>Low</t>
        </is>
      </c>
      <c r="H216" t="inlineStr">
        <is>
          <t>Investigate</t>
        </is>
      </c>
      <c r="I216" t="inlineStr">
        <is>
          <t>1970-01-01</t>
        </is>
      </c>
      <c r="J216" t="inlineStr"/>
      <c r="K216" t="inlineStr"/>
    </row>
    <row r="217">
      <c r="A217" t="n">
        <v>216</v>
      </c>
      <c r="B217" t="inlineStr">
        <is>
          <t>Peak Aviation CC</t>
        </is>
      </c>
      <c r="C217" t="inlineStr">
        <is>
          <t>Peak Aviation</t>
        </is>
      </c>
      <c r="D217" s="206" t="n">
        <v>45792</v>
      </c>
      <c r="E217" t="inlineStr">
        <is>
          <t>Unspecified</t>
        </is>
      </c>
      <c r="F217" t="inlineStr"/>
      <c r="G217" t="inlineStr">
        <is>
          <t>Low</t>
        </is>
      </c>
      <c r="H217" t="inlineStr">
        <is>
          <t>Investigate</t>
        </is>
      </c>
      <c r="I217" t="inlineStr">
        <is>
          <t>1970-01-01</t>
        </is>
      </c>
      <c r="J217" t="inlineStr"/>
      <c r="K217" t="inlineStr"/>
    </row>
    <row r="218">
      <c r="A218" t="n">
        <v>217</v>
      </c>
      <c r="B218" t="inlineStr">
        <is>
          <t>Pilatus Flugzeugwerke AG</t>
        </is>
      </c>
      <c r="C218" t="inlineStr">
        <is>
          <t>Pilatus Flugzeugwerke AG</t>
        </is>
      </c>
      <c r="D218" t="inlineStr"/>
      <c r="E218" t="inlineStr">
        <is>
          <t>Unspecified</t>
        </is>
      </c>
      <c r="F218" t="inlineStr"/>
      <c r="G218" t="inlineStr">
        <is>
          <t>Low</t>
        </is>
      </c>
      <c r="H218" t="inlineStr">
        <is>
          <t>Investigate</t>
        </is>
      </c>
      <c r="I218" t="inlineStr">
        <is>
          <t>1970-01-01</t>
        </is>
      </c>
      <c r="J218" t="inlineStr"/>
      <c r="K218" t="inlineStr"/>
    </row>
    <row r="219">
      <c r="A219" t="n">
        <v>218</v>
      </c>
      <c r="B219" t="inlineStr">
        <is>
          <t>Pilatus PC-12 Centre</t>
        </is>
      </c>
      <c r="C219" t="inlineStr">
        <is>
          <t>Pilatus PC-12 Centre</t>
        </is>
      </c>
      <c r="D219" t="inlineStr"/>
      <c r="E219" t="inlineStr">
        <is>
          <t>Unspecified</t>
        </is>
      </c>
      <c r="F219" t="inlineStr"/>
      <c r="G219" t="inlineStr">
        <is>
          <t>Low</t>
        </is>
      </c>
      <c r="H219" t="inlineStr">
        <is>
          <t>Investigate</t>
        </is>
      </c>
      <c r="I219" t="inlineStr">
        <is>
          <t>1970-01-01</t>
        </is>
      </c>
      <c r="J219" t="inlineStr"/>
      <c r="K219" t="inlineStr"/>
    </row>
    <row r="220">
      <c r="A220" t="n">
        <v>219</v>
      </c>
      <c r="B220" t="inlineStr">
        <is>
          <t>PilotInsure</t>
        </is>
      </c>
      <c r="C220" t="inlineStr">
        <is>
          <t>PilotInsure</t>
        </is>
      </c>
      <c r="D220" t="inlineStr"/>
      <c r="E220" t="inlineStr">
        <is>
          <t>Brokers</t>
        </is>
      </c>
      <c r="F220" t="inlineStr">
        <is>
          <t>No Alignment</t>
        </is>
      </c>
      <c r="G220" t="inlineStr">
        <is>
          <t>Low</t>
        </is>
      </c>
      <c r="H220" t="inlineStr">
        <is>
          <t>Unknown</t>
        </is>
      </c>
      <c r="I220" t="inlineStr">
        <is>
          <t>1970-01-01</t>
        </is>
      </c>
      <c r="J220" t="n">
        <v>1</v>
      </c>
      <c r="K220" t="inlineStr"/>
    </row>
    <row r="221">
      <c r="A221" t="n">
        <v>220</v>
      </c>
      <c r="B221" t="inlineStr">
        <is>
          <t>Plane Maintenance Facility CC</t>
        </is>
      </c>
      <c r="C221" t="inlineStr">
        <is>
          <t>Plane Maintenance Facility CC</t>
        </is>
      </c>
      <c r="D221" t="inlineStr"/>
      <c r="E221" t="inlineStr">
        <is>
          <t>Unspecified</t>
        </is>
      </c>
      <c r="F221" t="inlineStr"/>
      <c r="G221" t="inlineStr">
        <is>
          <t>Low</t>
        </is>
      </c>
      <c r="H221" t="inlineStr">
        <is>
          <t>Investigate</t>
        </is>
      </c>
      <c r="I221" t="inlineStr">
        <is>
          <t>1970-01-01</t>
        </is>
      </c>
      <c r="J221" t="inlineStr"/>
      <c r="K221" t="inlineStr"/>
    </row>
    <row r="222">
      <c r="A222" t="n">
        <v>221</v>
      </c>
      <c r="B222" t="inlineStr">
        <is>
          <t>PLATORAND</t>
        </is>
      </c>
      <c r="C222" t="inlineStr">
        <is>
          <t>PLATORAND</t>
        </is>
      </c>
      <c r="D222" t="inlineStr"/>
      <c r="E222" t="inlineStr">
        <is>
          <t>Unspecified</t>
        </is>
      </c>
      <c r="F222" t="inlineStr"/>
      <c r="G222" t="inlineStr">
        <is>
          <t>Low</t>
        </is>
      </c>
      <c r="H222" t="inlineStr">
        <is>
          <t>Investigate</t>
        </is>
      </c>
      <c r="I222" t="inlineStr">
        <is>
          <t>1970-01-01</t>
        </is>
      </c>
      <c r="J222" t="inlineStr"/>
      <c r="K222" t="inlineStr"/>
    </row>
    <row r="223">
      <c r="A223" t="n">
        <v>222</v>
      </c>
      <c r="B223" t="inlineStr">
        <is>
          <t>Plennegy (Pty) Ltd</t>
        </is>
      </c>
      <c r="C223" t="inlineStr">
        <is>
          <t>Plennegy (Pty) Ltd</t>
        </is>
      </c>
      <c r="D223" t="inlineStr"/>
      <c r="E223" t="inlineStr">
        <is>
          <t>Unspecified</t>
        </is>
      </c>
      <c r="F223" t="inlineStr"/>
      <c r="G223" t="inlineStr">
        <is>
          <t>Low</t>
        </is>
      </c>
      <c r="H223" t="inlineStr">
        <is>
          <t>Investigate</t>
        </is>
      </c>
      <c r="I223" t="inlineStr">
        <is>
          <t>1970-01-01</t>
        </is>
      </c>
      <c r="J223" t="inlineStr"/>
      <c r="K223" t="inlineStr"/>
    </row>
    <row r="224">
      <c r="A224" t="n">
        <v>223</v>
      </c>
      <c r="B224" t="inlineStr">
        <is>
          <t>Plerosis Aviation Technologies</t>
        </is>
      </c>
      <c r="C224" t="inlineStr">
        <is>
          <t>Plerosis Aviation Technologies</t>
        </is>
      </c>
      <c r="D224" t="inlineStr"/>
      <c r="E224" t="inlineStr">
        <is>
          <t>Unspecified</t>
        </is>
      </c>
      <c r="F224" t="inlineStr"/>
      <c r="G224" t="inlineStr">
        <is>
          <t>Low</t>
        </is>
      </c>
      <c r="H224" t="inlineStr">
        <is>
          <t>Investigate</t>
        </is>
      </c>
      <c r="I224" t="inlineStr">
        <is>
          <t>1970-01-01</t>
        </is>
      </c>
      <c r="J224" t="inlineStr"/>
      <c r="K224" t="inlineStr"/>
    </row>
    <row r="225">
      <c r="A225" t="n">
        <v>224</v>
      </c>
      <c r="B225" t="inlineStr">
        <is>
          <t>Pratt &amp; Whitney Canada(UK)LTD</t>
        </is>
      </c>
      <c r="C225" t="inlineStr">
        <is>
          <t>Pratt &amp; Whitney Canada(UK)LTD</t>
        </is>
      </c>
      <c r="D225" t="inlineStr"/>
      <c r="E225" t="inlineStr">
        <is>
          <t>Unspecified</t>
        </is>
      </c>
      <c r="F225" t="inlineStr"/>
      <c r="G225" t="inlineStr">
        <is>
          <t>Low</t>
        </is>
      </c>
      <c r="H225" t="inlineStr">
        <is>
          <t>Investigate</t>
        </is>
      </c>
      <c r="I225" t="inlineStr">
        <is>
          <t>1970-01-01</t>
        </is>
      </c>
      <c r="J225" t="inlineStr"/>
      <c r="K225" t="inlineStr"/>
    </row>
    <row r="226">
      <c r="A226" t="n">
        <v>225</v>
      </c>
      <c r="B226" t="inlineStr">
        <is>
          <t>PRECISION AVIATION SERVICES (PTY) Ltd</t>
        </is>
      </c>
      <c r="C226" t="inlineStr">
        <is>
          <t>NAC Precision Aviation Services</t>
        </is>
      </c>
      <c r="D226" s="206" t="n">
        <v>35601</v>
      </c>
      <c r="E226" t="inlineStr">
        <is>
          <t>Unspecified</t>
        </is>
      </c>
      <c r="F226" t="inlineStr"/>
      <c r="G226" t="inlineStr">
        <is>
          <t>Low</t>
        </is>
      </c>
      <c r="H226" t="inlineStr">
        <is>
          <t>Investigate</t>
        </is>
      </c>
      <c r="I226" t="inlineStr">
        <is>
          <t>1970-01-01</t>
        </is>
      </c>
      <c r="J226" t="inlineStr"/>
      <c r="K226" t="inlineStr"/>
    </row>
    <row r="227">
      <c r="A227" t="n">
        <v>226</v>
      </c>
      <c r="B227" t="inlineStr">
        <is>
          <t>Pro-Air Maintenance</t>
        </is>
      </c>
      <c r="C227" t="inlineStr">
        <is>
          <t>Pro-Air Maintenance</t>
        </is>
      </c>
      <c r="D227" t="inlineStr"/>
      <c r="E227" t="inlineStr">
        <is>
          <t>Unspecified</t>
        </is>
      </c>
      <c r="F227" t="inlineStr"/>
      <c r="G227" t="inlineStr">
        <is>
          <t>Low</t>
        </is>
      </c>
      <c r="H227" t="inlineStr">
        <is>
          <t>Investigate</t>
        </is>
      </c>
      <c r="I227" t="inlineStr">
        <is>
          <t>1970-01-01</t>
        </is>
      </c>
      <c r="J227" t="inlineStr"/>
      <c r="K227" t="inlineStr"/>
    </row>
    <row r="228">
      <c r="A228" t="n">
        <v>227</v>
      </c>
      <c r="B228" t="inlineStr">
        <is>
          <t>Progress Aviation (Pty) Ltd</t>
        </is>
      </c>
      <c r="C228" t="inlineStr">
        <is>
          <t>Progress Aviation (Pty) Ltd</t>
        </is>
      </c>
      <c r="D228" t="inlineStr"/>
      <c r="E228" t="inlineStr">
        <is>
          <t>Unspecified</t>
        </is>
      </c>
      <c r="F228" t="inlineStr"/>
      <c r="G228" t="inlineStr">
        <is>
          <t>Low</t>
        </is>
      </c>
      <c r="H228" t="inlineStr">
        <is>
          <t>Investigate</t>
        </is>
      </c>
      <c r="I228" t="inlineStr">
        <is>
          <t>1970-01-01</t>
        </is>
      </c>
      <c r="J228" t="inlineStr"/>
      <c r="K228" t="inlineStr"/>
    </row>
    <row r="229">
      <c r="A229" t="n">
        <v>228</v>
      </c>
      <c r="B229" t="inlineStr">
        <is>
          <t>Propeller Centre</t>
        </is>
      </c>
      <c r="C229" t="inlineStr">
        <is>
          <t>Propeller Centre</t>
        </is>
      </c>
      <c r="D229" t="inlineStr"/>
      <c r="E229" t="inlineStr">
        <is>
          <t>Unspecified</t>
        </is>
      </c>
      <c r="F229" t="inlineStr"/>
      <c r="G229" t="inlineStr">
        <is>
          <t>Low</t>
        </is>
      </c>
      <c r="H229" t="inlineStr">
        <is>
          <t>Investigate</t>
        </is>
      </c>
      <c r="I229" t="inlineStr">
        <is>
          <t>1970-01-01</t>
        </is>
      </c>
      <c r="J229" t="inlineStr"/>
      <c r="K229" t="inlineStr"/>
    </row>
    <row r="230">
      <c r="A230" t="n">
        <v>229</v>
      </c>
      <c r="B230" t="inlineStr">
        <is>
          <t>Proto Shop CC</t>
        </is>
      </c>
      <c r="C230" t="inlineStr">
        <is>
          <t>Proto Shop CC</t>
        </is>
      </c>
      <c r="D230" t="inlineStr"/>
      <c r="E230" t="inlineStr">
        <is>
          <t>Unspecified</t>
        </is>
      </c>
      <c r="F230" t="inlineStr"/>
      <c r="G230" t="inlineStr">
        <is>
          <t>Low</t>
        </is>
      </c>
      <c r="H230" t="inlineStr">
        <is>
          <t>Investigate</t>
        </is>
      </c>
      <c r="I230" t="inlineStr">
        <is>
          <t>1970-01-01</t>
        </is>
      </c>
      <c r="J230" t="inlineStr"/>
      <c r="K230" t="inlineStr"/>
    </row>
    <row r="231">
      <c r="A231" t="n">
        <v>230</v>
      </c>
      <c r="B231" t="inlineStr">
        <is>
          <t>PWR Aircraft Maintenance International</t>
        </is>
      </c>
      <c r="C231" t="inlineStr">
        <is>
          <t>Aircraft Maintainance International</t>
        </is>
      </c>
      <c r="D231" s="206" t="n">
        <v>36936</v>
      </c>
      <c r="E231" t="inlineStr">
        <is>
          <t>AMO</t>
        </is>
      </c>
      <c r="F231" t="inlineStr">
        <is>
          <t>Client</t>
        </is>
      </c>
      <c r="G231" t="inlineStr">
        <is>
          <t>Medium</t>
        </is>
      </c>
      <c r="H231" t="inlineStr">
        <is>
          <t>Contacted - Email</t>
        </is>
      </c>
      <c r="I231" t="inlineStr">
        <is>
          <t>2025-07-22</t>
        </is>
      </c>
      <c r="J231" t="inlineStr"/>
      <c r="K231" t="inlineStr"/>
    </row>
    <row r="232">
      <c r="A232" t="n">
        <v>231</v>
      </c>
      <c r="B232" t="inlineStr">
        <is>
          <t>RAW Maintenance</t>
        </is>
      </c>
      <c r="C232" t="inlineStr">
        <is>
          <t>Raw Aviation</t>
        </is>
      </c>
      <c r="D232" s="206" t="n">
        <v>42718</v>
      </c>
      <c r="E232" t="inlineStr">
        <is>
          <t>Unspecified</t>
        </is>
      </c>
      <c r="F232" t="inlineStr"/>
      <c r="G232" t="inlineStr">
        <is>
          <t>Low</t>
        </is>
      </c>
      <c r="H232" t="inlineStr">
        <is>
          <t>Investigate</t>
        </is>
      </c>
      <c r="I232" t="inlineStr">
        <is>
          <t>1970-01-01</t>
        </is>
      </c>
      <c r="J232" t="inlineStr"/>
      <c r="K232" t="inlineStr"/>
    </row>
    <row r="233">
      <c r="A233" t="n">
        <v>232</v>
      </c>
      <c r="B233" t="inlineStr">
        <is>
          <t>Revima</t>
        </is>
      </c>
      <c r="C233" t="inlineStr">
        <is>
          <t>Revima</t>
        </is>
      </c>
      <c r="D233" t="inlineStr"/>
      <c r="E233" t="inlineStr">
        <is>
          <t>Unspecified</t>
        </is>
      </c>
      <c r="F233" t="inlineStr"/>
      <c r="G233" t="inlineStr">
        <is>
          <t>Low</t>
        </is>
      </c>
      <c r="H233" t="inlineStr">
        <is>
          <t>Investigate</t>
        </is>
      </c>
      <c r="I233" t="inlineStr">
        <is>
          <t>1970-01-01</t>
        </is>
      </c>
      <c r="J233" t="inlineStr"/>
      <c r="K233" t="inlineStr"/>
    </row>
    <row r="234">
      <c r="A234" t="n">
        <v>233</v>
      </c>
      <c r="B234" t="inlineStr">
        <is>
          <t>Robin Coss Aviation (Pty) Ltd</t>
        </is>
      </c>
      <c r="C234" t="inlineStr">
        <is>
          <t>Robin Coss Aviation (Pty) Ltd</t>
        </is>
      </c>
      <c r="D234" t="inlineStr"/>
      <c r="E234" t="inlineStr">
        <is>
          <t>Unspecified</t>
        </is>
      </c>
      <c r="F234" t="inlineStr"/>
      <c r="G234" t="inlineStr">
        <is>
          <t>Low</t>
        </is>
      </c>
      <c r="H234" t="inlineStr">
        <is>
          <t>Investigate</t>
        </is>
      </c>
      <c r="I234" t="inlineStr">
        <is>
          <t>1970-01-01</t>
        </is>
      </c>
      <c r="J234" t="inlineStr"/>
      <c r="K234" t="inlineStr"/>
    </row>
    <row r="235">
      <c r="A235" t="n">
        <v>234</v>
      </c>
      <c r="B235" t="inlineStr">
        <is>
          <t>Roesch Aviation</t>
        </is>
      </c>
      <c r="C235" t="inlineStr">
        <is>
          <t>Roesch Aviation</t>
        </is>
      </c>
      <c r="D235" t="inlineStr"/>
      <c r="E235" t="inlineStr">
        <is>
          <t>Unspecified</t>
        </is>
      </c>
      <c r="F235" t="inlineStr"/>
      <c r="G235" t="inlineStr">
        <is>
          <t>Low</t>
        </is>
      </c>
      <c r="H235" t="inlineStr">
        <is>
          <t>Investigate</t>
        </is>
      </c>
      <c r="I235" t="inlineStr">
        <is>
          <t>1970-01-01</t>
        </is>
      </c>
      <c r="J235" t="inlineStr"/>
      <c r="K235" t="inlineStr"/>
    </row>
    <row r="236">
      <c r="A236" t="n">
        <v>235</v>
      </c>
      <c r="B236" t="inlineStr">
        <is>
          <t>Rotary Air Force SA Pty Ltd</t>
        </is>
      </c>
      <c r="C236" t="inlineStr">
        <is>
          <t>Rotary Air Force SA Pty Ltd</t>
        </is>
      </c>
      <c r="D236" t="inlineStr"/>
      <c r="E236" t="inlineStr">
        <is>
          <t>Unspecified</t>
        </is>
      </c>
      <c r="F236" t="inlineStr"/>
      <c r="G236" t="inlineStr">
        <is>
          <t>Low</t>
        </is>
      </c>
      <c r="H236" t="inlineStr">
        <is>
          <t>Investigate</t>
        </is>
      </c>
      <c r="I236" t="inlineStr">
        <is>
          <t>1970-01-01</t>
        </is>
      </c>
      <c r="J236" t="inlineStr"/>
      <c r="K236" t="inlineStr"/>
    </row>
    <row r="237">
      <c r="A237" t="n">
        <v>236</v>
      </c>
      <c r="B237" t="inlineStr">
        <is>
          <t>SA Airlink</t>
        </is>
      </c>
      <c r="C237" t="inlineStr">
        <is>
          <t>S A Airlink</t>
        </is>
      </c>
      <c r="D237" s="206" t="n">
        <v>44337</v>
      </c>
      <c r="E237" t="inlineStr">
        <is>
          <t>Unspecified</t>
        </is>
      </c>
      <c r="F237" t="inlineStr"/>
      <c r="G237" t="inlineStr">
        <is>
          <t>Low</t>
        </is>
      </c>
      <c r="H237" t="inlineStr">
        <is>
          <t>Investigate</t>
        </is>
      </c>
      <c r="I237" t="inlineStr">
        <is>
          <t>1970-01-01</t>
        </is>
      </c>
      <c r="J237" t="inlineStr"/>
      <c r="K237" t="inlineStr"/>
    </row>
    <row r="238">
      <c r="A238" t="n">
        <v>237</v>
      </c>
      <c r="B238" t="inlineStr">
        <is>
          <t>SA Mooney Sales and Services CC</t>
        </is>
      </c>
      <c r="C238" t="inlineStr">
        <is>
          <t>S.A.Mooney Sales &amp; Service</t>
        </is>
      </c>
      <c r="D238" s="206" t="n">
        <v>43581</v>
      </c>
      <c r="E238" t="inlineStr">
        <is>
          <t>Unspecified</t>
        </is>
      </c>
      <c r="F238" t="inlineStr"/>
      <c r="G238" t="inlineStr">
        <is>
          <t>Low</t>
        </is>
      </c>
      <c r="H238" t="inlineStr">
        <is>
          <t>Investigate</t>
        </is>
      </c>
      <c r="I238" t="inlineStr">
        <is>
          <t>1970-01-01</t>
        </is>
      </c>
      <c r="J238" t="inlineStr"/>
      <c r="K238" t="inlineStr"/>
    </row>
    <row r="239">
      <c r="A239" t="n">
        <v>238</v>
      </c>
      <c r="B239" t="inlineStr">
        <is>
          <t>SA Red Cross Air Mercy  Service</t>
        </is>
      </c>
      <c r="C239" t="inlineStr">
        <is>
          <t>SA Red Cross Air Mercy  Service</t>
        </is>
      </c>
      <c r="D239" t="inlineStr"/>
      <c r="E239" t="inlineStr">
        <is>
          <t>Unspecified</t>
        </is>
      </c>
      <c r="F239" t="inlineStr"/>
      <c r="G239" t="inlineStr">
        <is>
          <t>Low</t>
        </is>
      </c>
      <c r="H239" t="inlineStr">
        <is>
          <t>Investigate</t>
        </is>
      </c>
      <c r="I239" t="inlineStr">
        <is>
          <t>1970-01-01</t>
        </is>
      </c>
      <c r="J239" t="inlineStr"/>
      <c r="K239" t="inlineStr"/>
    </row>
    <row r="240">
      <c r="A240" t="n">
        <v>239</v>
      </c>
      <c r="B240" t="inlineStr">
        <is>
          <t>SAFAIR OPERATIONS (PTY) LTD</t>
        </is>
      </c>
      <c r="C240" t="inlineStr">
        <is>
          <t>SAFAIR OPERATIONS (PTY) LTD</t>
        </is>
      </c>
      <c r="D240" t="inlineStr"/>
      <c r="E240" t="inlineStr">
        <is>
          <t>Unspecified</t>
        </is>
      </c>
      <c r="F240" t="inlineStr"/>
      <c r="G240" t="inlineStr">
        <is>
          <t>Low</t>
        </is>
      </c>
      <c r="H240" t="inlineStr">
        <is>
          <t>Investigate</t>
        </is>
      </c>
      <c r="I240" t="inlineStr">
        <is>
          <t>1970-01-01</t>
        </is>
      </c>
      <c r="J240" t="inlineStr"/>
      <c r="K240" t="inlineStr"/>
    </row>
    <row r="241">
      <c r="A241" t="n">
        <v>240</v>
      </c>
      <c r="B241" t="inlineStr">
        <is>
          <t>Safomar Aviation Maintenance(PTY)Ltd</t>
        </is>
      </c>
      <c r="C241" t="inlineStr">
        <is>
          <t>Safomar</t>
        </is>
      </c>
      <c r="D241" s="206" t="n">
        <v>44582</v>
      </c>
      <c r="E241" t="inlineStr">
        <is>
          <t>Unspecified</t>
        </is>
      </c>
      <c r="F241" t="inlineStr"/>
      <c r="G241" t="inlineStr">
        <is>
          <t>Low</t>
        </is>
      </c>
      <c r="H241" t="inlineStr">
        <is>
          <t>Investigate</t>
        </is>
      </c>
      <c r="I241" t="inlineStr">
        <is>
          <t>1970-01-01</t>
        </is>
      </c>
      <c r="J241" t="inlineStr"/>
      <c r="K241" t="inlineStr"/>
    </row>
    <row r="242">
      <c r="A242" t="n">
        <v>241</v>
      </c>
      <c r="B242" t="inlineStr">
        <is>
          <t>SAFRAN Aircraft Engines( SNECMA)</t>
        </is>
      </c>
      <c r="C242" t="inlineStr">
        <is>
          <t>SAFRAN Aircraft Engines( SNECMA)</t>
        </is>
      </c>
      <c r="D242" t="inlineStr"/>
      <c r="E242" t="inlineStr">
        <is>
          <t>Unspecified</t>
        </is>
      </c>
      <c r="F242" t="inlineStr"/>
      <c r="G242" t="inlineStr">
        <is>
          <t>Low</t>
        </is>
      </c>
      <c r="H242" t="inlineStr">
        <is>
          <t>Investigate</t>
        </is>
      </c>
      <c r="I242" t="inlineStr">
        <is>
          <t>1970-01-01</t>
        </is>
      </c>
      <c r="J242" t="inlineStr"/>
      <c r="K242" t="inlineStr"/>
    </row>
    <row r="243">
      <c r="A243" t="n">
        <v>242</v>
      </c>
      <c r="B243" t="inlineStr">
        <is>
          <t>Sahara African Aviation</t>
        </is>
      </c>
      <c r="C243" t="inlineStr">
        <is>
          <t>Sahara African Aviation</t>
        </is>
      </c>
      <c r="D243" s="206" t="n">
        <v>41578</v>
      </c>
      <c r="E243" t="inlineStr">
        <is>
          <t>Unspecified</t>
        </is>
      </c>
      <c r="F243" t="inlineStr"/>
      <c r="G243" t="inlineStr">
        <is>
          <t>Low</t>
        </is>
      </c>
      <c r="H243" t="inlineStr">
        <is>
          <t>Investigate</t>
        </is>
      </c>
      <c r="I243" t="inlineStr">
        <is>
          <t>1970-01-01</t>
        </is>
      </c>
      <c r="J243" t="inlineStr"/>
      <c r="K243" t="inlineStr"/>
    </row>
    <row r="244">
      <c r="A244" t="n">
        <v>243</v>
      </c>
      <c r="B244" t="inlineStr">
        <is>
          <t>Sahel Aviation Services</t>
        </is>
      </c>
      <c r="C244" t="inlineStr">
        <is>
          <t>Sahel Aviation Services</t>
        </is>
      </c>
      <c r="D244" t="inlineStr"/>
      <c r="E244" t="inlineStr">
        <is>
          <t>Unspecified</t>
        </is>
      </c>
      <c r="F244" t="inlineStr"/>
      <c r="G244" t="inlineStr">
        <is>
          <t>Low</t>
        </is>
      </c>
      <c r="H244" t="inlineStr">
        <is>
          <t>Investigate</t>
        </is>
      </c>
      <c r="I244" t="inlineStr">
        <is>
          <t>1970-01-01</t>
        </is>
      </c>
      <c r="J244" t="inlineStr"/>
      <c r="K244" t="inlineStr"/>
    </row>
    <row r="245">
      <c r="A245" t="n">
        <v>244</v>
      </c>
      <c r="B245" t="inlineStr">
        <is>
          <t>Saliwavikwa t/a AMT</t>
        </is>
      </c>
      <c r="C245" t="inlineStr">
        <is>
          <t>Saliwavikwa t/a AMT</t>
        </is>
      </c>
      <c r="D245" t="inlineStr"/>
      <c r="E245" t="inlineStr">
        <is>
          <t>Unspecified</t>
        </is>
      </c>
      <c r="F245" t="inlineStr"/>
      <c r="G245" t="inlineStr">
        <is>
          <t>Low</t>
        </is>
      </c>
      <c r="H245" t="inlineStr">
        <is>
          <t>Investigate</t>
        </is>
      </c>
      <c r="I245" t="inlineStr">
        <is>
          <t>1970-01-01</t>
        </is>
      </c>
      <c r="J245" t="inlineStr"/>
      <c r="K245" t="inlineStr"/>
    </row>
    <row r="246">
      <c r="A246" t="n">
        <v>245</v>
      </c>
      <c r="B246" t="inlineStr">
        <is>
          <t>SANPARKS</t>
        </is>
      </c>
      <c r="C246" t="inlineStr">
        <is>
          <t>SANPARKS</t>
        </is>
      </c>
      <c r="D246" t="inlineStr"/>
      <c r="E246" t="inlineStr">
        <is>
          <t>Unspecified</t>
        </is>
      </c>
      <c r="F246" t="inlineStr"/>
      <c r="G246" t="inlineStr">
        <is>
          <t>Low</t>
        </is>
      </c>
      <c r="H246" t="inlineStr">
        <is>
          <t>Investigate</t>
        </is>
      </c>
      <c r="I246" t="inlineStr">
        <is>
          <t>1970-01-01</t>
        </is>
      </c>
      <c r="J246" t="inlineStr"/>
      <c r="K246" t="inlineStr"/>
    </row>
    <row r="247">
      <c r="A247" t="n">
        <v>246</v>
      </c>
      <c r="B247" t="inlineStr">
        <is>
          <t>Santam Aviation</t>
        </is>
      </c>
      <c r="C247" t="inlineStr">
        <is>
          <t>Santam Ltd</t>
        </is>
      </c>
      <c r="D247" s="206" t="n">
        <v>36594</v>
      </c>
      <c r="E247" t="inlineStr">
        <is>
          <t>Insurance</t>
        </is>
      </c>
      <c r="F247" t="inlineStr">
        <is>
          <t>Approved Supplier</t>
        </is>
      </c>
      <c r="G247" t="inlineStr">
        <is>
          <t>Low</t>
        </is>
      </c>
      <c r="H247" t="inlineStr">
        <is>
          <t>Contacted - Email</t>
        </is>
      </c>
      <c r="I247" t="inlineStr">
        <is>
          <t>2025-07-22</t>
        </is>
      </c>
      <c r="J247" t="n">
        <v>1</v>
      </c>
      <c r="K247" t="inlineStr"/>
    </row>
    <row r="248">
      <c r="A248" t="n">
        <v>247</v>
      </c>
      <c r="B248" t="inlineStr">
        <is>
          <t>SAPS AIRWING</t>
        </is>
      </c>
      <c r="C248" t="inlineStr">
        <is>
          <t>SAPS AIRWING</t>
        </is>
      </c>
      <c r="D248" t="inlineStr"/>
      <c r="E248" t="inlineStr">
        <is>
          <t>Unspecified</t>
        </is>
      </c>
      <c r="F248" t="inlineStr"/>
      <c r="G248" t="inlineStr">
        <is>
          <t>Low</t>
        </is>
      </c>
      <c r="H248" t="inlineStr">
        <is>
          <t>Investigate</t>
        </is>
      </c>
      <c r="I248" t="inlineStr">
        <is>
          <t>1970-01-01</t>
        </is>
      </c>
      <c r="J248" t="inlineStr"/>
      <c r="K248" t="inlineStr"/>
    </row>
    <row r="249">
      <c r="A249" t="n">
        <v>248</v>
      </c>
      <c r="B249" t="inlineStr">
        <is>
          <t>Savannah Helicopter Maintenance</t>
        </is>
      </c>
      <c r="C249" t="inlineStr">
        <is>
          <t>Savannah Helicopter Maintenance</t>
        </is>
      </c>
      <c r="D249" t="inlineStr"/>
      <c r="E249" t="inlineStr">
        <is>
          <t>Unspecified</t>
        </is>
      </c>
      <c r="F249" t="inlineStr"/>
      <c r="G249" t="inlineStr">
        <is>
          <t>Low</t>
        </is>
      </c>
      <c r="H249" t="inlineStr">
        <is>
          <t>Investigate</t>
        </is>
      </c>
      <c r="I249" t="inlineStr">
        <is>
          <t>1970-01-01</t>
        </is>
      </c>
      <c r="J249" t="inlineStr"/>
      <c r="K249" t="inlineStr"/>
    </row>
    <row r="250">
      <c r="A250" t="n">
        <v>249</v>
      </c>
      <c r="B250" t="inlineStr">
        <is>
          <t>Seaview Aerobatics</t>
        </is>
      </c>
      <c r="C250" t="inlineStr">
        <is>
          <t>Seaview Aerobatics</t>
        </is>
      </c>
      <c r="D250" t="inlineStr"/>
      <c r="E250" t="inlineStr">
        <is>
          <t>Unspecified</t>
        </is>
      </c>
      <c r="F250" t="inlineStr"/>
      <c r="G250" t="inlineStr">
        <is>
          <t>Low</t>
        </is>
      </c>
      <c r="H250" t="inlineStr">
        <is>
          <t>Investigate</t>
        </is>
      </c>
      <c r="I250" t="inlineStr">
        <is>
          <t>1970-01-01</t>
        </is>
      </c>
      <c r="J250" t="inlineStr"/>
      <c r="K250" t="inlineStr"/>
    </row>
    <row r="251">
      <c r="A251" t="n">
        <v>250</v>
      </c>
      <c r="B251" t="inlineStr">
        <is>
          <t>Segers Aero Corporation</t>
        </is>
      </c>
      <c r="C251" t="inlineStr">
        <is>
          <t>Segers Aero Corporation</t>
        </is>
      </c>
      <c r="D251" t="inlineStr"/>
      <c r="E251" t="inlineStr">
        <is>
          <t>Unspecified</t>
        </is>
      </c>
      <c r="F251" t="inlineStr"/>
      <c r="G251" t="inlineStr">
        <is>
          <t>Low</t>
        </is>
      </c>
      <c r="H251" t="inlineStr">
        <is>
          <t>Investigate</t>
        </is>
      </c>
      <c r="I251" t="inlineStr">
        <is>
          <t>1970-01-01</t>
        </is>
      </c>
      <c r="J251" t="inlineStr"/>
      <c r="K251" t="inlineStr"/>
    </row>
    <row r="252">
      <c r="A252" t="n">
        <v>251</v>
      </c>
      <c r="B252" t="inlineStr">
        <is>
          <t>Shadow Lite CC</t>
        </is>
      </c>
      <c r="C252" t="inlineStr">
        <is>
          <t>Shadow Lite CC</t>
        </is>
      </c>
      <c r="D252" t="inlineStr"/>
      <c r="E252" t="inlineStr">
        <is>
          <t>Unspecified</t>
        </is>
      </c>
      <c r="F252" t="inlineStr"/>
      <c r="G252" t="inlineStr">
        <is>
          <t>Low</t>
        </is>
      </c>
      <c r="H252" t="inlineStr">
        <is>
          <t>Investigate</t>
        </is>
      </c>
      <c r="I252" t="inlineStr">
        <is>
          <t>1970-01-01</t>
        </is>
      </c>
      <c r="J252" t="inlineStr"/>
      <c r="K252" t="inlineStr"/>
    </row>
    <row r="253">
      <c r="A253" t="n">
        <v>252</v>
      </c>
      <c r="B253" t="inlineStr">
        <is>
          <t>Sideslip Aviation Worx t/a Slideslip (Pty) ltd</t>
        </is>
      </c>
      <c r="C253" t="inlineStr">
        <is>
          <t>Sideslip Aviation Worx t/a Slideslip (Pty) ltd</t>
        </is>
      </c>
      <c r="D253" t="inlineStr"/>
      <c r="E253" t="inlineStr">
        <is>
          <t>Unspecified</t>
        </is>
      </c>
      <c r="F253" t="inlineStr"/>
      <c r="G253" t="inlineStr">
        <is>
          <t>Low</t>
        </is>
      </c>
      <c r="H253" t="inlineStr">
        <is>
          <t>Investigate</t>
        </is>
      </c>
      <c r="I253" t="inlineStr">
        <is>
          <t>1970-01-01</t>
        </is>
      </c>
      <c r="J253" t="inlineStr"/>
      <c r="K253" t="inlineStr"/>
    </row>
    <row r="254">
      <c r="A254" t="n">
        <v>253</v>
      </c>
      <c r="B254" t="inlineStr">
        <is>
          <t>Sky Hunter South Africa Pty Ltd</t>
        </is>
      </c>
      <c r="C254" t="inlineStr">
        <is>
          <t>Sky Hunter South Africa Pty Ltd</t>
        </is>
      </c>
      <c r="D254" t="inlineStr"/>
      <c r="E254" t="inlineStr">
        <is>
          <t>AMO</t>
        </is>
      </c>
      <c r="F254" t="inlineStr"/>
      <c r="G254" t="inlineStr">
        <is>
          <t>Low</t>
        </is>
      </c>
      <c r="H254" t="inlineStr">
        <is>
          <t>Last Order</t>
        </is>
      </c>
      <c r="I254" t="inlineStr">
        <is>
          <t>2010-07-25</t>
        </is>
      </c>
      <c r="J254" t="inlineStr"/>
      <c r="K254" t="inlineStr"/>
    </row>
    <row r="255">
      <c r="A255" t="n">
        <v>254</v>
      </c>
      <c r="B255" t="inlineStr">
        <is>
          <t>Sky Sprayers (Pty) Ltd</t>
        </is>
      </c>
      <c r="C255" t="inlineStr">
        <is>
          <t>Sky Sprayers (Pty) Ltd</t>
        </is>
      </c>
      <c r="D255" t="inlineStr"/>
      <c r="E255" t="inlineStr">
        <is>
          <t>Unspecified</t>
        </is>
      </c>
      <c r="F255" t="inlineStr"/>
      <c r="G255" t="inlineStr">
        <is>
          <t>Low</t>
        </is>
      </c>
      <c r="H255" t="inlineStr">
        <is>
          <t>Investigate</t>
        </is>
      </c>
      <c r="I255" t="inlineStr">
        <is>
          <t>1970-01-01</t>
        </is>
      </c>
      <c r="J255" t="inlineStr"/>
      <c r="K255" t="inlineStr"/>
    </row>
    <row r="256">
      <c r="A256" t="n">
        <v>255</v>
      </c>
      <c r="B256" t="inlineStr">
        <is>
          <t>Skycare Maintenance</t>
        </is>
      </c>
      <c r="C256" t="inlineStr">
        <is>
          <t>Skycare</t>
        </is>
      </c>
      <c r="D256" s="206" t="n">
        <v>44987</v>
      </c>
      <c r="E256" t="inlineStr">
        <is>
          <t>Unspecified</t>
        </is>
      </c>
      <c r="F256" t="inlineStr"/>
      <c r="G256" t="inlineStr">
        <is>
          <t>Low</t>
        </is>
      </c>
      <c r="H256" t="inlineStr">
        <is>
          <t>Investigate</t>
        </is>
      </c>
      <c r="I256" t="inlineStr">
        <is>
          <t>1970-01-01</t>
        </is>
      </c>
      <c r="J256" t="inlineStr"/>
      <c r="K256" t="inlineStr"/>
    </row>
    <row r="257">
      <c r="A257" t="n">
        <v>256</v>
      </c>
      <c r="B257" t="inlineStr">
        <is>
          <t>Skycore (Pty) Ltd</t>
        </is>
      </c>
      <c r="C257" t="inlineStr">
        <is>
          <t>Skycore (Pty) Ltd</t>
        </is>
      </c>
      <c r="D257" t="inlineStr"/>
      <c r="E257" t="inlineStr">
        <is>
          <t>Unspecified</t>
        </is>
      </c>
      <c r="F257" t="inlineStr"/>
      <c r="G257" t="inlineStr">
        <is>
          <t>Low</t>
        </is>
      </c>
      <c r="H257" t="inlineStr">
        <is>
          <t>Investigate</t>
        </is>
      </c>
      <c r="I257" t="inlineStr">
        <is>
          <t>1970-01-01</t>
        </is>
      </c>
      <c r="J257" t="inlineStr"/>
      <c r="K257" t="inlineStr"/>
    </row>
    <row r="258">
      <c r="A258" t="n">
        <v>257</v>
      </c>
      <c r="B258" t="inlineStr">
        <is>
          <t>Skyhawk Aviation (Pty) Ltd</t>
        </is>
      </c>
      <c r="C258" t="inlineStr">
        <is>
          <t>Skyhawk Aviation</t>
        </is>
      </c>
      <c r="D258" s="206" t="n">
        <v>45728</v>
      </c>
      <c r="E258" t="inlineStr">
        <is>
          <t>Unspecified</t>
        </is>
      </c>
      <c r="F258" t="inlineStr"/>
      <c r="G258" t="inlineStr">
        <is>
          <t>Low</t>
        </is>
      </c>
      <c r="H258" t="inlineStr">
        <is>
          <t>Investigate</t>
        </is>
      </c>
      <c r="I258" t="inlineStr">
        <is>
          <t>1970-01-01</t>
        </is>
      </c>
      <c r="J258" t="inlineStr"/>
      <c r="K258" t="inlineStr"/>
    </row>
    <row r="259">
      <c r="A259" t="n">
        <v>258</v>
      </c>
      <c r="B259" t="inlineStr">
        <is>
          <t>Skysource International SA</t>
        </is>
      </c>
      <c r="C259" t="inlineStr">
        <is>
          <t>Skysource International SA</t>
        </is>
      </c>
      <c r="D259" t="inlineStr"/>
      <c r="E259" t="inlineStr">
        <is>
          <t>Unspecified</t>
        </is>
      </c>
      <c r="F259" t="inlineStr"/>
      <c r="G259" t="inlineStr">
        <is>
          <t>Low</t>
        </is>
      </c>
      <c r="H259" t="inlineStr">
        <is>
          <t>Investigate</t>
        </is>
      </c>
      <c r="I259" t="inlineStr">
        <is>
          <t>1970-01-01</t>
        </is>
      </c>
      <c r="J259" t="inlineStr"/>
      <c r="K259" t="inlineStr"/>
    </row>
    <row r="260">
      <c r="A260" t="n">
        <v>259</v>
      </c>
      <c r="B260" t="inlineStr">
        <is>
          <t>Skytech Aviation cc</t>
        </is>
      </c>
      <c r="C260" t="inlineStr">
        <is>
          <t>Skytech</t>
        </is>
      </c>
      <c r="D260" s="206" t="n">
        <v>42485</v>
      </c>
      <c r="E260" t="inlineStr">
        <is>
          <t>Unspecified</t>
        </is>
      </c>
      <c r="F260" t="inlineStr"/>
      <c r="G260" t="inlineStr">
        <is>
          <t>Low</t>
        </is>
      </c>
      <c r="H260" t="inlineStr">
        <is>
          <t>Investigate</t>
        </is>
      </c>
      <c r="I260" t="inlineStr">
        <is>
          <t>1970-01-01</t>
        </is>
      </c>
      <c r="J260" t="inlineStr"/>
      <c r="K260" t="inlineStr"/>
    </row>
    <row r="261">
      <c r="A261" t="n">
        <v>260</v>
      </c>
      <c r="B261" t="inlineStr">
        <is>
          <t>Skytrim Aircraft Refurbishing CC</t>
        </is>
      </c>
      <c r="C261" t="inlineStr">
        <is>
          <t>Skytrim rico</t>
        </is>
      </c>
      <c r="D261" s="206" t="n">
        <v>45855</v>
      </c>
      <c r="E261" t="inlineStr">
        <is>
          <t>Unspecified</t>
        </is>
      </c>
      <c r="F261" t="inlineStr"/>
      <c r="G261" t="inlineStr">
        <is>
          <t>Low</t>
        </is>
      </c>
      <c r="H261" t="inlineStr">
        <is>
          <t>Investigate</t>
        </is>
      </c>
      <c r="I261" t="inlineStr">
        <is>
          <t>1970-01-01</t>
        </is>
      </c>
      <c r="J261" t="inlineStr"/>
      <c r="K261" t="inlineStr"/>
    </row>
    <row r="262">
      <c r="A262" t="n">
        <v>261</v>
      </c>
      <c r="B262" t="inlineStr">
        <is>
          <t>Solenta Aviation (Pty) Ltd</t>
        </is>
      </c>
      <c r="C262" t="inlineStr">
        <is>
          <t>Solenta Aviation (Pty) Ltd</t>
        </is>
      </c>
      <c r="D262" t="inlineStr"/>
      <c r="E262" t="inlineStr">
        <is>
          <t>Unspecified</t>
        </is>
      </c>
      <c r="F262" t="inlineStr"/>
      <c r="G262" t="inlineStr">
        <is>
          <t>Low</t>
        </is>
      </c>
      <c r="H262" t="inlineStr">
        <is>
          <t>Investigate</t>
        </is>
      </c>
      <c r="I262" t="inlineStr">
        <is>
          <t>1970-01-01</t>
        </is>
      </c>
      <c r="J262" t="inlineStr"/>
      <c r="K262" t="inlineStr"/>
    </row>
    <row r="263">
      <c r="A263" t="n">
        <v>262</v>
      </c>
      <c r="B263" t="inlineStr">
        <is>
          <t>South African Air Force - 21Squadron</t>
        </is>
      </c>
      <c r="C263" t="inlineStr">
        <is>
          <t>South African Air Force - 21Squadron</t>
        </is>
      </c>
      <c r="D263" t="inlineStr"/>
      <c r="E263" t="inlineStr">
        <is>
          <t>Unspecified</t>
        </is>
      </c>
      <c r="F263" t="inlineStr"/>
      <c r="G263" t="inlineStr">
        <is>
          <t>Low</t>
        </is>
      </c>
      <c r="H263" t="inlineStr">
        <is>
          <t>Investigate</t>
        </is>
      </c>
      <c r="I263" t="inlineStr">
        <is>
          <t>1970-01-01</t>
        </is>
      </c>
      <c r="J263" t="inlineStr"/>
      <c r="K263" t="inlineStr"/>
    </row>
    <row r="264">
      <c r="A264" t="n">
        <v>263</v>
      </c>
      <c r="B264" t="inlineStr">
        <is>
          <t>South African Airways Technical SOC</t>
        </is>
      </c>
      <c r="C264" t="inlineStr">
        <is>
          <t>South African Airways Technical SOC</t>
        </is>
      </c>
      <c r="D264" t="inlineStr"/>
      <c r="E264" t="inlineStr">
        <is>
          <t>Unspecified</t>
        </is>
      </c>
      <c r="F264" t="inlineStr"/>
      <c r="G264" t="inlineStr">
        <is>
          <t>Low</t>
        </is>
      </c>
      <c r="H264" t="inlineStr">
        <is>
          <t>Investigate</t>
        </is>
      </c>
      <c r="I264" t="inlineStr">
        <is>
          <t>1970-01-01</t>
        </is>
      </c>
      <c r="J264" t="inlineStr"/>
      <c r="K264" t="inlineStr"/>
    </row>
    <row r="265">
      <c r="A265" t="n">
        <v>264</v>
      </c>
      <c r="B265" t="inlineStr">
        <is>
          <t>Southern Mapping Company (Pty) LTD</t>
        </is>
      </c>
      <c r="C265" t="inlineStr">
        <is>
          <t>Southern Mapping Company (Pty) LTD</t>
        </is>
      </c>
      <c r="D265" t="inlineStr"/>
      <c r="E265" t="inlineStr">
        <is>
          <t>Unspecified</t>
        </is>
      </c>
      <c r="F265" t="inlineStr"/>
      <c r="G265" t="inlineStr">
        <is>
          <t>Low</t>
        </is>
      </c>
      <c r="H265" t="inlineStr">
        <is>
          <t>Investigate</t>
        </is>
      </c>
      <c r="I265" t="inlineStr">
        <is>
          <t>1970-01-01</t>
        </is>
      </c>
      <c r="J265" t="inlineStr"/>
      <c r="K265" t="inlineStr"/>
    </row>
    <row r="266">
      <c r="A266" t="n">
        <v>265</v>
      </c>
      <c r="B266" t="inlineStr">
        <is>
          <t>Spark Air CC</t>
        </is>
      </c>
      <c r="C266" t="inlineStr">
        <is>
          <t>Spark Air</t>
        </is>
      </c>
      <c r="D266" s="206" t="n">
        <v>41304</v>
      </c>
      <c r="E266" t="inlineStr">
        <is>
          <t>Unspecified</t>
        </is>
      </c>
      <c r="F266" t="inlineStr"/>
      <c r="G266" t="inlineStr">
        <is>
          <t>Low</t>
        </is>
      </c>
      <c r="H266" t="inlineStr">
        <is>
          <t>Likely Closed</t>
        </is>
      </c>
      <c r="I266" t="inlineStr">
        <is>
          <t>2025-07-26</t>
        </is>
      </c>
      <c r="J266" t="inlineStr"/>
      <c r="K266" t="inlineStr"/>
    </row>
    <row r="267">
      <c r="A267" t="n">
        <v>266</v>
      </c>
      <c r="B267" t="inlineStr">
        <is>
          <t>Sport  Aviation</t>
        </is>
      </c>
      <c r="C267" t="inlineStr">
        <is>
          <t>Sport Aviation</t>
        </is>
      </c>
      <c r="D267" s="206" t="n">
        <v>39860</v>
      </c>
      <c r="E267" t="inlineStr">
        <is>
          <t>Unspecified</t>
        </is>
      </c>
      <c r="F267" t="inlineStr"/>
      <c r="G267" t="inlineStr">
        <is>
          <t>Low</t>
        </is>
      </c>
      <c r="H267" t="inlineStr">
        <is>
          <t>Investigate</t>
        </is>
      </c>
      <c r="I267" t="inlineStr">
        <is>
          <t>1970-01-01</t>
        </is>
      </c>
      <c r="J267" t="inlineStr"/>
      <c r="K267" t="inlineStr"/>
    </row>
    <row r="268">
      <c r="A268" t="n">
        <v>267</v>
      </c>
      <c r="B268" t="inlineStr">
        <is>
          <t>Sport Plane Builders CC</t>
        </is>
      </c>
      <c r="C268" t="inlineStr">
        <is>
          <t>Sport Plane Builders CC</t>
        </is>
      </c>
      <c r="D268" t="inlineStr"/>
      <c r="E268" t="inlineStr">
        <is>
          <t>Unspecified</t>
        </is>
      </c>
      <c r="F268" t="inlineStr"/>
      <c r="G268" t="inlineStr">
        <is>
          <t>Low</t>
        </is>
      </c>
      <c r="H268" t="inlineStr">
        <is>
          <t>Investigate</t>
        </is>
      </c>
      <c r="I268" t="inlineStr">
        <is>
          <t>1970-01-01</t>
        </is>
      </c>
      <c r="J268" t="inlineStr"/>
      <c r="K268" t="inlineStr"/>
    </row>
    <row r="269">
      <c r="A269" t="n">
        <v>268</v>
      </c>
      <c r="B269" t="inlineStr">
        <is>
          <t>Springbok Airsprayer</t>
        </is>
      </c>
      <c r="C269" t="inlineStr">
        <is>
          <t>Springbok Airsprayer</t>
        </is>
      </c>
      <c r="D269" t="inlineStr"/>
      <c r="E269" t="inlineStr">
        <is>
          <t>Unspecified</t>
        </is>
      </c>
      <c r="F269" t="inlineStr"/>
      <c r="G269" t="inlineStr">
        <is>
          <t>Low</t>
        </is>
      </c>
      <c r="H269" t="inlineStr">
        <is>
          <t>Investigate</t>
        </is>
      </c>
      <c r="I269" t="inlineStr">
        <is>
          <t>1970-01-01</t>
        </is>
      </c>
      <c r="J269" t="inlineStr"/>
      <c r="K269" t="inlineStr"/>
    </row>
    <row r="270">
      <c r="A270" t="n">
        <v>269</v>
      </c>
      <c r="B270" t="inlineStr">
        <is>
          <t>Springbok Aviation Services (Pty) Ltd</t>
        </is>
      </c>
      <c r="C270" t="inlineStr">
        <is>
          <t>Spingbok Aviation</t>
        </is>
      </c>
      <c r="D270" s="206" t="n">
        <v>40084</v>
      </c>
      <c r="E270" t="inlineStr">
        <is>
          <t>Unspecified</t>
        </is>
      </c>
      <c r="F270" t="inlineStr"/>
      <c r="G270" t="inlineStr">
        <is>
          <t>Low</t>
        </is>
      </c>
      <c r="H270" t="inlineStr">
        <is>
          <t>Investigate</t>
        </is>
      </c>
      <c r="I270" t="inlineStr">
        <is>
          <t>1970-01-01</t>
        </is>
      </c>
      <c r="J270" t="inlineStr"/>
      <c r="K270" t="inlineStr"/>
    </row>
    <row r="271">
      <c r="A271" t="n">
        <v>270</v>
      </c>
      <c r="B271" t="inlineStr">
        <is>
          <t>Springler</t>
        </is>
      </c>
      <c r="C271" t="inlineStr">
        <is>
          <t>Springler</t>
        </is>
      </c>
      <c r="D271" t="inlineStr"/>
      <c r="E271" t="inlineStr">
        <is>
          <t>Unspecified</t>
        </is>
      </c>
      <c r="F271" t="inlineStr"/>
      <c r="G271" t="inlineStr">
        <is>
          <t>Low</t>
        </is>
      </c>
      <c r="H271" t="inlineStr">
        <is>
          <t>Investigate</t>
        </is>
      </c>
      <c r="I271" t="inlineStr">
        <is>
          <t>1970-01-01</t>
        </is>
      </c>
      <c r="J271" t="inlineStr"/>
      <c r="K271" t="inlineStr"/>
    </row>
    <row r="272">
      <c r="A272" t="n">
        <v>271</v>
      </c>
      <c r="B272" t="inlineStr">
        <is>
          <t>SR Technics Switzerland</t>
        </is>
      </c>
      <c r="C272" t="inlineStr">
        <is>
          <t>SR Technics Switzerland</t>
        </is>
      </c>
      <c r="D272" t="inlineStr"/>
      <c r="E272" t="inlineStr">
        <is>
          <t>Unspecified</t>
        </is>
      </c>
      <c r="F272" t="inlineStr"/>
      <c r="G272" t="inlineStr">
        <is>
          <t>Low</t>
        </is>
      </c>
      <c r="H272" t="inlineStr">
        <is>
          <t>Investigate</t>
        </is>
      </c>
      <c r="I272" t="inlineStr">
        <is>
          <t>1970-01-01</t>
        </is>
      </c>
      <c r="J272" t="inlineStr"/>
      <c r="K272" t="inlineStr"/>
    </row>
    <row r="273">
      <c r="A273" t="n">
        <v>272</v>
      </c>
      <c r="B273" t="inlineStr">
        <is>
          <t>Standard Aero ( Alliance) Inc</t>
        </is>
      </c>
      <c r="C273" t="inlineStr">
        <is>
          <t>Standard Aero ( Alliance) Inc</t>
        </is>
      </c>
      <c r="D273" t="inlineStr"/>
      <c r="E273" t="inlineStr">
        <is>
          <t>Unspecified</t>
        </is>
      </c>
      <c r="F273" t="inlineStr"/>
      <c r="G273" t="inlineStr">
        <is>
          <t>Low</t>
        </is>
      </c>
      <c r="H273" t="inlineStr">
        <is>
          <t>Investigate</t>
        </is>
      </c>
      <c r="I273" t="inlineStr">
        <is>
          <t>1970-01-01</t>
        </is>
      </c>
      <c r="J273" t="inlineStr"/>
      <c r="K273" t="inlineStr"/>
    </row>
    <row r="274">
      <c r="A274" t="n">
        <v>273</v>
      </c>
      <c r="B274" t="inlineStr">
        <is>
          <t>Standard Aero LTD</t>
        </is>
      </c>
      <c r="C274" t="inlineStr">
        <is>
          <t>Standard Aero LTD</t>
        </is>
      </c>
      <c r="D274" t="inlineStr"/>
      <c r="E274" t="inlineStr">
        <is>
          <t>Unspecified</t>
        </is>
      </c>
      <c r="F274" t="inlineStr"/>
      <c r="G274" t="inlineStr">
        <is>
          <t>Low</t>
        </is>
      </c>
      <c r="H274" t="inlineStr">
        <is>
          <t>Investigate</t>
        </is>
      </c>
      <c r="I274" t="inlineStr">
        <is>
          <t>1970-01-01</t>
        </is>
      </c>
      <c r="J274" t="inlineStr"/>
      <c r="K274" t="inlineStr"/>
    </row>
    <row r="275">
      <c r="A275" t="n">
        <v>274</v>
      </c>
      <c r="B275" t="inlineStr">
        <is>
          <t>Star Air Maintenance</t>
        </is>
      </c>
      <c r="C275" t="inlineStr">
        <is>
          <t>Star Air Maintenance</t>
        </is>
      </c>
      <c r="D275" t="inlineStr"/>
      <c r="E275" t="inlineStr">
        <is>
          <t>Unspecified</t>
        </is>
      </c>
      <c r="F275" t="inlineStr"/>
      <c r="G275" t="inlineStr">
        <is>
          <t>Low</t>
        </is>
      </c>
      <c r="H275" t="inlineStr">
        <is>
          <t>Investigate</t>
        </is>
      </c>
      <c r="I275" t="inlineStr">
        <is>
          <t>1970-01-01</t>
        </is>
      </c>
      <c r="J275" t="inlineStr"/>
      <c r="K275" t="inlineStr"/>
    </row>
    <row r="276">
      <c r="A276" t="n">
        <v>275</v>
      </c>
      <c r="B276" t="inlineStr">
        <is>
          <t>Starlite Maintenance</t>
        </is>
      </c>
      <c r="C276" t="inlineStr">
        <is>
          <t>Starlite</t>
        </is>
      </c>
      <c r="D276" s="206" t="n">
        <v>45453</v>
      </c>
      <c r="E276" t="inlineStr">
        <is>
          <t>Unspecified</t>
        </is>
      </c>
      <c r="F276" t="inlineStr"/>
      <c r="G276" t="inlineStr">
        <is>
          <t>Low</t>
        </is>
      </c>
      <c r="H276" t="inlineStr">
        <is>
          <t>Investigate</t>
        </is>
      </c>
      <c r="I276" t="inlineStr">
        <is>
          <t>1970-01-01</t>
        </is>
      </c>
      <c r="J276" t="inlineStr"/>
      <c r="K276" t="inlineStr"/>
    </row>
    <row r="277">
      <c r="A277" t="n">
        <v>276</v>
      </c>
      <c r="B277" t="inlineStr">
        <is>
          <t>Starlite Maintenance Durban (Pty) Ltd</t>
        </is>
      </c>
      <c r="C277" t="inlineStr">
        <is>
          <t>Starlite Maintenance Durban (Pty) Ltd</t>
        </is>
      </c>
      <c r="D277" t="inlineStr"/>
      <c r="E277" t="inlineStr">
        <is>
          <t>Unspecified</t>
        </is>
      </c>
      <c r="F277" t="inlineStr"/>
      <c r="G277" t="inlineStr">
        <is>
          <t>Low</t>
        </is>
      </c>
      <c r="H277" t="inlineStr">
        <is>
          <t>Investigate</t>
        </is>
      </c>
      <c r="I277" t="inlineStr">
        <is>
          <t>1970-01-01</t>
        </is>
      </c>
      <c r="J277" t="inlineStr"/>
      <c r="K277" t="inlineStr"/>
    </row>
    <row r="278">
      <c r="A278" t="n">
        <v>277</v>
      </c>
      <c r="B278" t="inlineStr">
        <is>
          <t>Stellair CC</t>
        </is>
      </c>
      <c r="C278" t="inlineStr">
        <is>
          <t>Stellair CC</t>
        </is>
      </c>
      <c r="D278" t="inlineStr"/>
      <c r="E278" t="inlineStr">
        <is>
          <t>Unspecified</t>
        </is>
      </c>
      <c r="F278" t="inlineStr"/>
      <c r="G278" t="inlineStr">
        <is>
          <t>Low</t>
        </is>
      </c>
      <c r="H278" t="inlineStr">
        <is>
          <t>Investigate</t>
        </is>
      </c>
      <c r="I278" t="inlineStr">
        <is>
          <t>1970-01-01</t>
        </is>
      </c>
      <c r="J278" t="inlineStr"/>
      <c r="K278" t="inlineStr"/>
    </row>
    <row r="279">
      <c r="A279" t="n">
        <v>278</v>
      </c>
      <c r="B279" t="inlineStr">
        <is>
          <t>Superior Aeroworx</t>
        </is>
      </c>
      <c r="C279" t="inlineStr">
        <is>
          <t>Superior Aeroworx</t>
        </is>
      </c>
      <c r="D279" t="inlineStr"/>
      <c r="E279" t="inlineStr">
        <is>
          <t>Unspecified</t>
        </is>
      </c>
      <c r="F279" t="inlineStr"/>
      <c r="G279" t="inlineStr">
        <is>
          <t>Low</t>
        </is>
      </c>
      <c r="H279" t="inlineStr">
        <is>
          <t>Investigate</t>
        </is>
      </c>
      <c r="I279" t="inlineStr">
        <is>
          <t>1970-01-01</t>
        </is>
      </c>
      <c r="J279" t="inlineStr"/>
      <c r="K279" t="inlineStr"/>
    </row>
    <row r="280">
      <c r="A280" t="n">
        <v>279</v>
      </c>
      <c r="B280" t="inlineStr">
        <is>
          <t>Superior Millenium Aircraft Engines CC</t>
        </is>
      </c>
      <c r="C280" t="inlineStr">
        <is>
          <t>Superior Millennium Aircraft</t>
        </is>
      </c>
      <c r="D280" s="206" t="n">
        <v>45219</v>
      </c>
      <c r="E280" t="inlineStr">
        <is>
          <t>Unspecified</t>
        </is>
      </c>
      <c r="F280" t="inlineStr"/>
      <c r="G280" t="inlineStr">
        <is>
          <t>Low</t>
        </is>
      </c>
      <c r="H280" t="inlineStr">
        <is>
          <t>Investigate</t>
        </is>
      </c>
      <c r="I280" t="inlineStr">
        <is>
          <t>1970-01-01</t>
        </is>
      </c>
      <c r="J280" t="inlineStr"/>
      <c r="K280" t="inlineStr"/>
    </row>
    <row r="281">
      <c r="A281" t="n">
        <v>280</v>
      </c>
      <c r="B281" t="inlineStr">
        <is>
          <t>Superior Rotorworx (PTY)Ltd</t>
        </is>
      </c>
      <c r="C281" t="inlineStr">
        <is>
          <t>Superior Rotorworx</t>
        </is>
      </c>
      <c r="D281" s="206" t="n">
        <v>45552</v>
      </c>
      <c r="E281" t="inlineStr">
        <is>
          <t>Unspecified</t>
        </is>
      </c>
      <c r="F281" t="inlineStr"/>
      <c r="G281" t="inlineStr">
        <is>
          <t>Low</t>
        </is>
      </c>
      <c r="H281" t="inlineStr">
        <is>
          <t>Investigate</t>
        </is>
      </c>
      <c r="I281" t="inlineStr">
        <is>
          <t>1970-01-01</t>
        </is>
      </c>
      <c r="J281" t="inlineStr"/>
      <c r="K281" t="inlineStr"/>
    </row>
    <row r="282">
      <c r="A282" t="n">
        <v>281</v>
      </c>
      <c r="B282" t="inlineStr">
        <is>
          <t>Technic Aviation</t>
        </is>
      </c>
      <c r="C282" t="inlineStr">
        <is>
          <t>Technic Aviation</t>
        </is>
      </c>
      <c r="D282" t="inlineStr"/>
      <c r="E282" t="inlineStr">
        <is>
          <t>Unspecified</t>
        </is>
      </c>
      <c r="F282" t="inlineStr"/>
      <c r="G282" t="inlineStr">
        <is>
          <t>Low</t>
        </is>
      </c>
      <c r="H282" t="inlineStr">
        <is>
          <t>Investigate</t>
        </is>
      </c>
      <c r="I282" t="inlineStr">
        <is>
          <t>1970-01-01</t>
        </is>
      </c>
      <c r="J282" t="inlineStr"/>
      <c r="K282" t="inlineStr"/>
    </row>
    <row r="283">
      <c r="A283" t="n">
        <v>282</v>
      </c>
      <c r="B283" t="inlineStr">
        <is>
          <t>Textron</t>
        </is>
      </c>
      <c r="C283" t="inlineStr">
        <is>
          <t>Textron</t>
        </is>
      </c>
      <c r="D283" t="inlineStr"/>
      <c r="E283" t="inlineStr">
        <is>
          <t>Unspecified</t>
        </is>
      </c>
      <c r="F283" t="inlineStr"/>
      <c r="G283" t="inlineStr">
        <is>
          <t>Low</t>
        </is>
      </c>
      <c r="H283" t="inlineStr">
        <is>
          <t>Investigate</t>
        </is>
      </c>
      <c r="I283" t="inlineStr">
        <is>
          <t>1970-01-01</t>
        </is>
      </c>
      <c r="J283" t="inlineStr"/>
      <c r="K283" t="inlineStr"/>
    </row>
    <row r="284">
      <c r="A284" t="n">
        <v>283</v>
      </c>
      <c r="B284" t="inlineStr">
        <is>
          <t>TFASA Engineering (Pearl Coral 1173 CC t/a)</t>
        </is>
      </c>
      <c r="C284" t="inlineStr">
        <is>
          <t>TFASA Engineering (Pearl Coral 1173 CC t/a)</t>
        </is>
      </c>
      <c r="D284" t="inlineStr"/>
      <c r="E284" t="inlineStr">
        <is>
          <t>Unspecified</t>
        </is>
      </c>
      <c r="F284" t="inlineStr"/>
      <c r="G284" t="inlineStr">
        <is>
          <t>Low</t>
        </is>
      </c>
      <c r="H284" t="inlineStr">
        <is>
          <t>Investigate</t>
        </is>
      </c>
      <c r="I284" t="inlineStr">
        <is>
          <t>1970-01-01</t>
        </is>
      </c>
      <c r="J284" t="inlineStr"/>
      <c r="K284" t="inlineStr"/>
    </row>
    <row r="285">
      <c r="A285" t="n">
        <v>284</v>
      </c>
      <c r="B285" t="inlineStr">
        <is>
          <t>The Airplane Factory(PTY)</t>
        </is>
      </c>
      <c r="C285" t="inlineStr">
        <is>
          <t>The Airplane Factory(PTY)</t>
        </is>
      </c>
      <c r="D285" t="inlineStr"/>
      <c r="E285" t="inlineStr">
        <is>
          <t>Unspecified</t>
        </is>
      </c>
      <c r="F285" t="inlineStr"/>
      <c r="G285" t="inlineStr">
        <is>
          <t>Low</t>
        </is>
      </c>
      <c r="H285" t="inlineStr">
        <is>
          <t>Investigate</t>
        </is>
      </c>
      <c r="I285" t="inlineStr">
        <is>
          <t>1970-01-01</t>
        </is>
      </c>
      <c r="J285" t="inlineStr"/>
      <c r="K285" t="inlineStr"/>
    </row>
    <row r="286">
      <c r="A286" t="n">
        <v>285</v>
      </c>
      <c r="B286" t="inlineStr">
        <is>
          <t>The Copter Shop CC</t>
        </is>
      </c>
      <c r="C286" t="inlineStr">
        <is>
          <t>The Copter Shop CC</t>
        </is>
      </c>
      <c r="D286" t="inlineStr"/>
      <c r="E286" t="inlineStr">
        <is>
          <t>Unspecified</t>
        </is>
      </c>
      <c r="F286" t="inlineStr"/>
      <c r="G286" t="inlineStr">
        <is>
          <t>Low</t>
        </is>
      </c>
      <c r="H286" t="inlineStr">
        <is>
          <t>Investigate</t>
        </is>
      </c>
      <c r="I286" t="inlineStr">
        <is>
          <t>1970-01-01</t>
        </is>
      </c>
      <c r="J286" t="inlineStr"/>
      <c r="K286" t="inlineStr"/>
    </row>
    <row r="287">
      <c r="A287" t="n">
        <v>286</v>
      </c>
      <c r="B287" t="inlineStr">
        <is>
          <t>Titanoffshore (Pty) Ltd</t>
        </is>
      </c>
      <c r="C287" t="inlineStr">
        <is>
          <t>Titanoffshore (Pty) Ltd</t>
        </is>
      </c>
      <c r="D287" t="inlineStr"/>
      <c r="E287" t="inlineStr">
        <is>
          <t>Unspecified</t>
        </is>
      </c>
      <c r="F287" t="inlineStr"/>
      <c r="G287" t="inlineStr">
        <is>
          <t>Low</t>
        </is>
      </c>
      <c r="H287" t="inlineStr">
        <is>
          <t>Investigate</t>
        </is>
      </c>
      <c r="I287" t="inlineStr">
        <is>
          <t>1970-01-01</t>
        </is>
      </c>
      <c r="J287" t="inlineStr"/>
      <c r="K287" t="inlineStr"/>
    </row>
    <row r="288">
      <c r="A288" t="n">
        <v>287</v>
      </c>
      <c r="B288" t="inlineStr">
        <is>
          <t>Tjaart Aviation (PTY) Ltd</t>
        </is>
      </c>
      <c r="C288" t="inlineStr">
        <is>
          <t>Tjaart Aviation (PTY) Ltd</t>
        </is>
      </c>
      <c r="D288" t="inlineStr"/>
      <c r="E288" t="inlineStr">
        <is>
          <t>Unspecified</t>
        </is>
      </c>
      <c r="F288" t="inlineStr"/>
      <c r="G288" t="inlineStr">
        <is>
          <t>Low</t>
        </is>
      </c>
      <c r="H288" t="inlineStr">
        <is>
          <t>Investigate</t>
        </is>
      </c>
      <c r="I288" t="inlineStr">
        <is>
          <t>1970-01-01</t>
        </is>
      </c>
      <c r="J288" t="inlineStr"/>
      <c r="K288" t="inlineStr"/>
    </row>
    <row r="289">
      <c r="A289" t="n">
        <v>288</v>
      </c>
      <c r="B289" t="inlineStr">
        <is>
          <t>TNM Aviation cc</t>
        </is>
      </c>
      <c r="C289" t="inlineStr">
        <is>
          <t>TNM Aviation cc</t>
        </is>
      </c>
      <c r="D289" t="inlineStr"/>
      <c r="E289" t="inlineStr">
        <is>
          <t>Unspecified</t>
        </is>
      </c>
      <c r="F289" t="inlineStr"/>
      <c r="G289" t="inlineStr">
        <is>
          <t>Low</t>
        </is>
      </c>
      <c r="H289" t="inlineStr">
        <is>
          <t>Investigate</t>
        </is>
      </c>
      <c r="I289" t="inlineStr">
        <is>
          <t>1970-01-01</t>
        </is>
      </c>
      <c r="J289" t="inlineStr"/>
      <c r="K289" t="inlineStr"/>
    </row>
    <row r="290">
      <c r="A290" t="n">
        <v>289</v>
      </c>
      <c r="B290" t="inlineStr">
        <is>
          <t>Transnet National Ports Authority</t>
        </is>
      </c>
      <c r="C290" t="inlineStr">
        <is>
          <t>Transnet National Ports Authority</t>
        </is>
      </c>
      <c r="D290" t="inlineStr"/>
      <c r="E290" t="inlineStr">
        <is>
          <t>Unspecified</t>
        </is>
      </c>
      <c r="F290" t="inlineStr"/>
      <c r="G290" t="inlineStr">
        <is>
          <t>Low</t>
        </is>
      </c>
      <c r="H290" t="inlineStr">
        <is>
          <t>Investigate</t>
        </is>
      </c>
      <c r="I290" t="inlineStr">
        <is>
          <t>1970-01-01</t>
        </is>
      </c>
      <c r="J290" t="inlineStr"/>
      <c r="K290" t="inlineStr"/>
    </row>
    <row r="291">
      <c r="A291" t="n">
        <v>290</v>
      </c>
      <c r="B291" t="inlineStr">
        <is>
          <t>Transvaal Aircraft Maintenance (Pty) Ltd</t>
        </is>
      </c>
      <c r="C291" t="inlineStr">
        <is>
          <t>TAM</t>
        </is>
      </c>
      <c r="D291" s="206" t="n">
        <v>45838</v>
      </c>
      <c r="E291" t="inlineStr">
        <is>
          <t>Unspecified</t>
        </is>
      </c>
      <c r="F291" t="inlineStr"/>
      <c r="G291" t="inlineStr">
        <is>
          <t>Low</t>
        </is>
      </c>
      <c r="H291" t="inlineStr">
        <is>
          <t>Investigate</t>
        </is>
      </c>
      <c r="I291" t="inlineStr">
        <is>
          <t>1970-01-01</t>
        </is>
      </c>
      <c r="J291" t="inlineStr"/>
      <c r="K291" t="inlineStr"/>
    </row>
    <row r="292">
      <c r="A292" t="n">
        <v>291</v>
      </c>
      <c r="B292" t="inlineStr">
        <is>
          <t>Trio  Helicopters &amp;  Aviation</t>
        </is>
      </c>
      <c r="C292" t="inlineStr">
        <is>
          <t>Trio  Helicopters &amp;  Aviation</t>
        </is>
      </c>
      <c r="D292" t="inlineStr"/>
      <c r="E292" t="inlineStr">
        <is>
          <t>Unspecified</t>
        </is>
      </c>
      <c r="F292" t="inlineStr"/>
      <c r="G292" t="inlineStr">
        <is>
          <t>Low</t>
        </is>
      </c>
      <c r="H292" t="inlineStr">
        <is>
          <t>Investigate</t>
        </is>
      </c>
      <c r="I292" t="inlineStr">
        <is>
          <t>1970-01-01</t>
        </is>
      </c>
      <c r="J292" t="inlineStr"/>
      <c r="K292" t="inlineStr"/>
    </row>
    <row r="293">
      <c r="A293" t="n">
        <v>292</v>
      </c>
      <c r="B293" t="inlineStr">
        <is>
          <t>Turbine Engine Maintenance Repair and
Overhaul (Pty) Ltd</t>
        </is>
      </c>
      <c r="C293" t="inlineStr">
        <is>
          <t>Turbine Engine Maintenance Repair and
Overhaul (Pty) Ltd</t>
        </is>
      </c>
      <c r="D293" t="inlineStr"/>
      <c r="E293" t="inlineStr">
        <is>
          <t>Unspecified</t>
        </is>
      </c>
      <c r="F293" t="inlineStr"/>
      <c r="G293" t="inlineStr">
        <is>
          <t>Low</t>
        </is>
      </c>
      <c r="H293" t="inlineStr">
        <is>
          <t>Investigate</t>
        </is>
      </c>
      <c r="I293" t="inlineStr">
        <is>
          <t>1970-01-01</t>
        </is>
      </c>
      <c r="J293" t="inlineStr"/>
      <c r="K293" t="inlineStr"/>
    </row>
    <row r="294">
      <c r="A294" t="n">
        <v>293</v>
      </c>
      <c r="B294" t="inlineStr">
        <is>
          <t>Turbine Versions (Pty) Ltd</t>
        </is>
      </c>
      <c r="C294" t="inlineStr">
        <is>
          <t>Turbine Versions (Pty) Ltd</t>
        </is>
      </c>
      <c r="D294" t="inlineStr"/>
      <c r="E294" t="inlineStr">
        <is>
          <t>Unspecified</t>
        </is>
      </c>
      <c r="F294" t="inlineStr"/>
      <c r="G294" t="inlineStr">
        <is>
          <t>Low</t>
        </is>
      </c>
      <c r="H294" t="inlineStr">
        <is>
          <t>Investigate</t>
        </is>
      </c>
      <c r="I294" t="inlineStr">
        <is>
          <t>1970-01-01</t>
        </is>
      </c>
      <c r="J294" t="inlineStr"/>
      <c r="K294" t="inlineStr"/>
    </row>
    <row r="295">
      <c r="A295" t="n">
        <v>294</v>
      </c>
      <c r="B295" t="inlineStr">
        <is>
          <t>Turbo Prop Service Centre CC</t>
        </is>
      </c>
      <c r="C295" t="inlineStr">
        <is>
          <t>Turbo Prop Service Centre CC</t>
        </is>
      </c>
      <c r="D295" t="inlineStr"/>
      <c r="E295" t="inlineStr">
        <is>
          <t>Unspecified</t>
        </is>
      </c>
      <c r="F295" t="inlineStr"/>
      <c r="G295" t="inlineStr">
        <is>
          <t>Low</t>
        </is>
      </c>
      <c r="H295" t="inlineStr">
        <is>
          <t>Investigate</t>
        </is>
      </c>
      <c r="I295" t="inlineStr">
        <is>
          <t>1970-01-01</t>
        </is>
      </c>
      <c r="J295" t="inlineStr"/>
      <c r="K295" t="inlineStr"/>
    </row>
    <row r="296">
      <c r="A296" t="n">
        <v>295</v>
      </c>
      <c r="B296" t="inlineStr">
        <is>
          <t>Turbo Prop Service Centre Uganda Ltd</t>
        </is>
      </c>
      <c r="C296" t="inlineStr">
        <is>
          <t>Turbo Prop Service Centre Uganda Ltd</t>
        </is>
      </c>
      <c r="D296" t="inlineStr"/>
      <c r="E296" t="inlineStr">
        <is>
          <t>Unspecified</t>
        </is>
      </c>
      <c r="F296" t="inlineStr"/>
      <c r="G296" t="inlineStr">
        <is>
          <t>Low</t>
        </is>
      </c>
      <c r="H296" t="inlineStr">
        <is>
          <t>Investigate</t>
        </is>
      </c>
      <c r="I296" t="inlineStr">
        <is>
          <t>1970-01-01</t>
        </is>
      </c>
      <c r="J296" t="inlineStr"/>
      <c r="K296" t="inlineStr"/>
    </row>
    <row r="297">
      <c r="A297" t="n">
        <v>296</v>
      </c>
      <c r="B297" t="inlineStr">
        <is>
          <t>Tynay Aviation</t>
        </is>
      </c>
      <c r="C297" t="inlineStr">
        <is>
          <t>Tynay Aviation</t>
        </is>
      </c>
      <c r="D297" t="inlineStr"/>
      <c r="E297" t="inlineStr">
        <is>
          <t>Unspecified</t>
        </is>
      </c>
      <c r="F297" t="inlineStr"/>
      <c r="G297" t="inlineStr">
        <is>
          <t>Low</t>
        </is>
      </c>
      <c r="H297" t="inlineStr">
        <is>
          <t>Investigate</t>
        </is>
      </c>
      <c r="I297" t="inlineStr">
        <is>
          <t>1970-01-01</t>
        </is>
      </c>
      <c r="J297" t="inlineStr"/>
      <c r="K297" t="inlineStr"/>
    </row>
    <row r="298">
      <c r="A298" t="n">
        <v>297</v>
      </c>
      <c r="B298" t="inlineStr">
        <is>
          <t>Ultimate Aviation Technical Pty Ltd</t>
        </is>
      </c>
      <c r="C298" t="inlineStr">
        <is>
          <t>Ultimate Aviation Technical Pty Ltd</t>
        </is>
      </c>
      <c r="D298" t="inlineStr"/>
      <c r="E298" t="inlineStr">
        <is>
          <t>Unspecified</t>
        </is>
      </c>
      <c r="F298" t="inlineStr"/>
      <c r="G298" t="inlineStr">
        <is>
          <t>Low</t>
        </is>
      </c>
      <c r="H298" t="inlineStr">
        <is>
          <t>Investigate</t>
        </is>
      </c>
      <c r="I298" t="inlineStr">
        <is>
          <t>1970-01-01</t>
        </is>
      </c>
      <c r="J298" t="inlineStr"/>
      <c r="K298" t="inlineStr"/>
    </row>
    <row r="299">
      <c r="A299" t="n">
        <v>298</v>
      </c>
      <c r="B299" t="inlineStr">
        <is>
          <t>Ultimax Aviation (Pty) Ltd</t>
        </is>
      </c>
      <c r="C299" t="inlineStr">
        <is>
          <t>Ultimax Aviation (Pty) Ltd</t>
        </is>
      </c>
      <c r="D299" t="inlineStr"/>
      <c r="E299" t="inlineStr">
        <is>
          <t>Unspecified</t>
        </is>
      </c>
      <c r="F299" t="inlineStr"/>
      <c r="G299" t="inlineStr">
        <is>
          <t>Low</t>
        </is>
      </c>
      <c r="H299" t="inlineStr">
        <is>
          <t>Investigate</t>
        </is>
      </c>
      <c r="I299" t="inlineStr">
        <is>
          <t>1970-01-01</t>
        </is>
      </c>
      <c r="J299" t="inlineStr"/>
      <c r="K299" t="inlineStr"/>
    </row>
    <row r="300">
      <c r="A300" t="n">
        <v>299</v>
      </c>
      <c r="B300" t="inlineStr">
        <is>
          <t>Unit Inspection Aviation Services CC</t>
        </is>
      </c>
      <c r="C300" t="inlineStr">
        <is>
          <t>Unit Inspection Aviation Services CC</t>
        </is>
      </c>
      <c r="D300" t="inlineStr"/>
      <c r="E300" t="inlineStr">
        <is>
          <t>Unspecified</t>
        </is>
      </c>
      <c r="F300" t="inlineStr"/>
      <c r="G300" t="inlineStr">
        <is>
          <t>Low</t>
        </is>
      </c>
      <c r="H300" t="inlineStr">
        <is>
          <t>Investigate</t>
        </is>
      </c>
      <c r="I300" t="inlineStr">
        <is>
          <t>1970-01-01</t>
        </is>
      </c>
      <c r="J300" t="inlineStr"/>
      <c r="K300" t="inlineStr"/>
    </row>
    <row r="301">
      <c r="A301" t="n">
        <v>300</v>
      </c>
      <c r="B301" t="inlineStr">
        <is>
          <t>United Aircraft Maintenance (Pty) Ltd</t>
        </is>
      </c>
      <c r="C301" t="inlineStr">
        <is>
          <t>United Aircraft Maintenance (Pty) Ltd</t>
        </is>
      </c>
      <c r="D301" t="inlineStr"/>
      <c r="E301" t="inlineStr">
        <is>
          <t>Unspecified</t>
        </is>
      </c>
      <c r="F301" t="inlineStr"/>
      <c r="G301" t="inlineStr">
        <is>
          <t>Low</t>
        </is>
      </c>
      <c r="H301" t="inlineStr">
        <is>
          <t>Investigate</t>
        </is>
      </c>
      <c r="I301" t="inlineStr">
        <is>
          <t>1970-01-01</t>
        </is>
      </c>
      <c r="J301" t="inlineStr"/>
      <c r="K301" t="inlineStr"/>
    </row>
    <row r="302">
      <c r="A302" t="n">
        <v>301</v>
      </c>
      <c r="B302" t="inlineStr">
        <is>
          <t>Valan Maintenance (Air Million Cargo Charter
(Pty) Ltd</t>
        </is>
      </c>
      <c r="C302" t="inlineStr">
        <is>
          <t>Valan Maintenance (Air Million Cargo Charter
(Pty) Ltd</t>
        </is>
      </c>
      <c r="D302" t="inlineStr"/>
      <c r="E302" t="inlineStr">
        <is>
          <t>Unspecified</t>
        </is>
      </c>
      <c r="F302" t="inlineStr"/>
      <c r="G302" t="inlineStr">
        <is>
          <t>Low</t>
        </is>
      </c>
      <c r="H302" t="inlineStr">
        <is>
          <t>Investigate</t>
        </is>
      </c>
      <c r="I302" t="inlineStr">
        <is>
          <t>1970-01-01</t>
        </is>
      </c>
      <c r="J302" t="inlineStr"/>
      <c r="K302" t="inlineStr"/>
    </row>
    <row r="303">
      <c r="A303" t="n">
        <v>302</v>
      </c>
      <c r="B303" t="inlineStr">
        <is>
          <t>Vector Aerospace Africa (Pty) Ltd</t>
        </is>
      </c>
      <c r="C303" t="inlineStr">
        <is>
          <t>Vector Aerospace Africa (Pty) Ltd</t>
        </is>
      </c>
      <c r="D303" t="inlineStr"/>
      <c r="E303" t="inlineStr">
        <is>
          <t>Unspecified</t>
        </is>
      </c>
      <c r="F303" t="inlineStr"/>
      <c r="G303" t="inlineStr">
        <is>
          <t>Low</t>
        </is>
      </c>
      <c r="H303" t="inlineStr">
        <is>
          <t>Investigate</t>
        </is>
      </c>
      <c r="I303" t="inlineStr">
        <is>
          <t>1970-01-01</t>
        </is>
      </c>
      <c r="J303" t="inlineStr"/>
      <c r="K303" t="inlineStr"/>
    </row>
    <row r="304">
      <c r="A304" t="n">
        <v>303</v>
      </c>
      <c r="B304" t="inlineStr">
        <is>
          <t>Vector Aerospace Engine Services Atlantic</t>
        </is>
      </c>
      <c r="C304" t="inlineStr">
        <is>
          <t>Vector Aerospace Engine Services Atlantic</t>
        </is>
      </c>
      <c r="D304" t="inlineStr"/>
      <c r="E304" t="inlineStr">
        <is>
          <t>Unspecified</t>
        </is>
      </c>
      <c r="F304" t="inlineStr"/>
      <c r="G304" t="inlineStr">
        <is>
          <t>Low</t>
        </is>
      </c>
      <c r="H304" t="inlineStr">
        <is>
          <t>Investigate</t>
        </is>
      </c>
      <c r="I304" t="inlineStr">
        <is>
          <t>1970-01-01</t>
        </is>
      </c>
      <c r="J304" t="inlineStr"/>
      <c r="K304" t="inlineStr"/>
    </row>
    <row r="305">
      <c r="A305" t="n">
        <v>304</v>
      </c>
      <c r="B305" t="inlineStr">
        <is>
          <t>Vektor Aviation</t>
        </is>
      </c>
      <c r="C305" t="inlineStr">
        <is>
          <t>Vektor Aviation</t>
        </is>
      </c>
      <c r="D305" t="inlineStr"/>
      <c r="E305" t="inlineStr">
        <is>
          <t>Brokers</t>
        </is>
      </c>
      <c r="F305" t="inlineStr">
        <is>
          <t>No Alignment</t>
        </is>
      </c>
      <c r="G305" t="inlineStr">
        <is>
          <t>Low</t>
        </is>
      </c>
      <c r="H305" t="inlineStr">
        <is>
          <t>Contacted - Email</t>
        </is>
      </c>
      <c r="I305" t="inlineStr">
        <is>
          <t>2025-07-22</t>
        </is>
      </c>
      <c r="J305" t="inlineStr"/>
      <c r="K305" t="inlineStr"/>
    </row>
    <row r="306">
      <c r="A306" t="n">
        <v>305</v>
      </c>
      <c r="B306" t="inlineStr">
        <is>
          <t>Vintage Aircraft Rebuilders</t>
        </is>
      </c>
      <c r="C306" t="inlineStr">
        <is>
          <t>Vintage Aircraft Rebuilders</t>
        </is>
      </c>
      <c r="D306" t="inlineStr"/>
      <c r="E306" t="inlineStr">
        <is>
          <t>Unspecified</t>
        </is>
      </c>
      <c r="F306" t="inlineStr"/>
      <c r="G306" t="inlineStr">
        <is>
          <t>Low</t>
        </is>
      </c>
      <c r="H306" t="inlineStr">
        <is>
          <t>Investigate</t>
        </is>
      </c>
      <c r="I306" t="inlineStr">
        <is>
          <t>1970-01-01</t>
        </is>
      </c>
      <c r="J306" t="inlineStr"/>
      <c r="K306" t="inlineStr"/>
    </row>
    <row r="307">
      <c r="A307" t="n">
        <v>306</v>
      </c>
      <c r="B307" t="inlineStr">
        <is>
          <t>Warbird Aircraft Services CC</t>
        </is>
      </c>
      <c r="C307" t="inlineStr">
        <is>
          <t>Warbird Aircraft Services CC</t>
        </is>
      </c>
      <c r="D307" t="inlineStr"/>
      <c r="E307" t="inlineStr">
        <is>
          <t>Unspecified</t>
        </is>
      </c>
      <c r="F307" t="inlineStr"/>
      <c r="G307" t="inlineStr">
        <is>
          <t>Low</t>
        </is>
      </c>
      <c r="H307" t="inlineStr">
        <is>
          <t>Investigate</t>
        </is>
      </c>
      <c r="I307" t="inlineStr">
        <is>
          <t>1970-01-01</t>
        </is>
      </c>
      <c r="J307" t="inlineStr"/>
      <c r="K307" t="inlineStr"/>
    </row>
    <row r="308">
      <c r="A308" t="n">
        <v>307</v>
      </c>
      <c r="B308" t="inlineStr">
        <is>
          <t>Wellco Air Services CC</t>
        </is>
      </c>
      <c r="C308" t="inlineStr">
        <is>
          <t>Welco Air Services</t>
        </is>
      </c>
      <c r="D308" s="206" t="n">
        <v>39058</v>
      </c>
      <c r="E308" t="inlineStr">
        <is>
          <t>Unspecified</t>
        </is>
      </c>
      <c r="F308" t="inlineStr"/>
      <c r="G308" t="inlineStr">
        <is>
          <t>Low</t>
        </is>
      </c>
      <c r="H308" t="inlineStr">
        <is>
          <t>Investigate</t>
        </is>
      </c>
      <c r="I308" t="inlineStr">
        <is>
          <t>1970-01-01</t>
        </is>
      </c>
      <c r="J308" t="inlineStr"/>
      <c r="K308" t="inlineStr"/>
    </row>
    <row r="309">
      <c r="A309" t="n">
        <v>308</v>
      </c>
      <c r="B309" t="inlineStr">
        <is>
          <t>West Air Wings</t>
        </is>
      </c>
      <c r="C309" t="inlineStr">
        <is>
          <t>West Air Wings</t>
        </is>
      </c>
      <c r="D309" t="inlineStr"/>
      <c r="E309" t="inlineStr">
        <is>
          <t>Unspecified</t>
        </is>
      </c>
      <c r="F309" t="inlineStr"/>
      <c r="G309" t="inlineStr">
        <is>
          <t>Low</t>
        </is>
      </c>
      <c r="H309" t="inlineStr">
        <is>
          <t>Investigate</t>
        </is>
      </c>
      <c r="I309" t="inlineStr">
        <is>
          <t>1970-01-01</t>
        </is>
      </c>
      <c r="J309" t="inlineStr"/>
      <c r="K309" t="inlineStr"/>
    </row>
    <row r="310">
      <c r="A310" t="n">
        <v>309</v>
      </c>
      <c r="B310" t="inlineStr">
        <is>
          <t>Whip-Air Aviation</t>
        </is>
      </c>
      <c r="C310" t="inlineStr">
        <is>
          <t>Whip-Air Aviation</t>
        </is>
      </c>
      <c r="D310" t="inlineStr"/>
      <c r="E310" t="inlineStr">
        <is>
          <t>Unspecified</t>
        </is>
      </c>
      <c r="F310" t="inlineStr"/>
      <c r="G310" t="inlineStr">
        <is>
          <t>Low</t>
        </is>
      </c>
      <c r="H310" t="inlineStr">
        <is>
          <t>Investigate</t>
        </is>
      </c>
      <c r="I310" t="inlineStr">
        <is>
          <t>1970-01-01</t>
        </is>
      </c>
      <c r="J310" t="inlineStr"/>
      <c r="K310" t="inlineStr"/>
    </row>
    <row r="311">
      <c r="A311" t="n">
        <v>310</v>
      </c>
      <c r="B311" t="inlineStr">
        <is>
          <t>Willis Towers Watson</t>
        </is>
      </c>
      <c r="C311" t="inlineStr">
        <is>
          <t>Willis Towers Watson</t>
        </is>
      </c>
      <c r="D311" t="inlineStr"/>
      <c r="E311" t="inlineStr">
        <is>
          <t>Brokers</t>
        </is>
      </c>
      <c r="F311" t="inlineStr">
        <is>
          <t>Approved Supplier</t>
        </is>
      </c>
      <c r="G311" t="inlineStr">
        <is>
          <t>Low</t>
        </is>
      </c>
      <c r="H311" t="inlineStr">
        <is>
          <t>Unknown</t>
        </is>
      </c>
      <c r="I311" t="inlineStr">
        <is>
          <t>1970-01-01</t>
        </is>
      </c>
      <c r="J311" t="inlineStr"/>
      <c r="K311" t="inlineStr"/>
    </row>
    <row r="312">
      <c r="A312" t="n">
        <v>311</v>
      </c>
      <c r="B312" t="inlineStr">
        <is>
          <t>Wineland Ballooning CC t/a Wineland Balloon
Workshop</t>
        </is>
      </c>
      <c r="C312" t="inlineStr">
        <is>
          <t>Wineland Ballooning CC t/a Wineland Balloon
Workshop</t>
        </is>
      </c>
      <c r="D312" t="inlineStr"/>
      <c r="E312" t="inlineStr">
        <is>
          <t>Unspecified</t>
        </is>
      </c>
      <c r="F312" t="inlineStr"/>
      <c r="G312" t="inlineStr">
        <is>
          <t>Low</t>
        </is>
      </c>
      <c r="H312" t="inlineStr">
        <is>
          <t>Investigate</t>
        </is>
      </c>
      <c r="I312" t="inlineStr">
        <is>
          <t>1970-01-01</t>
        </is>
      </c>
      <c r="J312" t="inlineStr"/>
      <c r="K312" t="inlineStr"/>
    </row>
    <row r="313">
      <c r="A313" t="n">
        <v>312</v>
      </c>
      <c r="B313" t="inlineStr">
        <is>
          <t>Wingman Aircraft Maintenance (PTY) LTD</t>
        </is>
      </c>
      <c r="C313" t="inlineStr">
        <is>
          <t>Wingman Aircraft Maintenance (PTY) LTD</t>
        </is>
      </c>
      <c r="D313" t="inlineStr"/>
      <c r="E313" t="inlineStr">
        <is>
          <t>Unspecified</t>
        </is>
      </c>
      <c r="F313" t="inlineStr"/>
      <c r="G313" t="inlineStr">
        <is>
          <t>Low</t>
        </is>
      </c>
      <c r="H313" t="inlineStr">
        <is>
          <t>Investigate</t>
        </is>
      </c>
      <c r="I313" t="inlineStr">
        <is>
          <t>1970-01-01</t>
        </is>
      </c>
      <c r="J313" t="inlineStr"/>
      <c r="K313" t="inlineStr"/>
    </row>
    <row r="314">
      <c r="A314" t="n">
        <v>313</v>
      </c>
      <c r="B314" t="inlineStr">
        <is>
          <t>XCALIBUR RESOURCES</t>
        </is>
      </c>
      <c r="C314" t="inlineStr">
        <is>
          <t>Xcalibur Aircraft Corporation (Pty) Ltd</t>
        </is>
      </c>
      <c r="D314" s="206" t="n">
        <v>45796</v>
      </c>
      <c r="E314" t="inlineStr">
        <is>
          <t>Unspecified</t>
        </is>
      </c>
      <c r="F314" t="inlineStr"/>
      <c r="G314" t="inlineStr">
        <is>
          <t>Low</t>
        </is>
      </c>
      <c r="H314" t="inlineStr">
        <is>
          <t>Investigate</t>
        </is>
      </c>
      <c r="I314" t="inlineStr">
        <is>
          <t>1970-01-01</t>
        </is>
      </c>
      <c r="J314" t="inlineStr"/>
      <c r="K314" t="inlineStr"/>
    </row>
    <row r="315">
      <c r="A315" t="n">
        <v>314</v>
      </c>
      <c r="B315" t="inlineStr">
        <is>
          <t>Yes Aircraft Maintenance (formely GOLDEN
WINGS AVIATION)</t>
        </is>
      </c>
      <c r="C315" t="inlineStr">
        <is>
          <t>Yes Aircraft Maintenance (formely GOLDEN
WINGS AVIATION)</t>
        </is>
      </c>
      <c r="D315" t="inlineStr"/>
      <c r="E315" t="inlineStr">
        <is>
          <t>Unspecified</t>
        </is>
      </c>
      <c r="F315" t="inlineStr"/>
      <c r="G315" t="inlineStr">
        <is>
          <t>Low</t>
        </is>
      </c>
      <c r="H315" t="inlineStr">
        <is>
          <t>Investigate</t>
        </is>
      </c>
      <c r="I315" t="inlineStr">
        <is>
          <t>1970-01-01</t>
        </is>
      </c>
      <c r="J315" t="inlineStr"/>
      <c r="K315" t="inlineStr"/>
    </row>
    <row r="316">
      <c r="A316" t="n">
        <v>315</v>
      </c>
      <c r="B316" t="inlineStr">
        <is>
          <t>Zenith Maintenance</t>
        </is>
      </c>
      <c r="C316" t="inlineStr">
        <is>
          <t>Zenith Maintenance</t>
        </is>
      </c>
      <c r="D316" t="inlineStr"/>
      <c r="E316" t="inlineStr">
        <is>
          <t>Unspecified</t>
        </is>
      </c>
      <c r="F316" t="inlineStr"/>
      <c r="G316" t="inlineStr">
        <is>
          <t>Low</t>
        </is>
      </c>
      <c r="H316" t="inlineStr">
        <is>
          <t>Investigate</t>
        </is>
      </c>
      <c r="I316" t="inlineStr">
        <is>
          <t>1970-01-01</t>
        </is>
      </c>
      <c r="J316" t="inlineStr"/>
      <c r="K316" t="inlineStr"/>
    </row>
    <row r="317">
      <c r="A317" t="n">
        <v>316</v>
      </c>
      <c r="B317" t="inlineStr">
        <is>
          <t>Abbot Cars</t>
        </is>
      </c>
      <c r="C317" t="inlineStr">
        <is>
          <t>ms Abbot Cars</t>
        </is>
      </c>
      <c r="D317" s="206" t="n">
        <v>41568</v>
      </c>
      <c r="E317" t="inlineStr">
        <is>
          <t>Motorsport</t>
        </is>
      </c>
      <c r="F317" t="inlineStr"/>
      <c r="G317" t="inlineStr">
        <is>
          <t>Low</t>
        </is>
      </c>
      <c r="H317" t="inlineStr">
        <is>
          <t>Unknown</t>
        </is>
      </c>
      <c r="I317" t="inlineStr">
        <is>
          <t>2025-07-26</t>
        </is>
      </c>
      <c r="J317" t="inlineStr"/>
      <c r="K317" t="inlineStr"/>
    </row>
    <row r="318">
      <c r="A318" t="n">
        <v>317</v>
      </c>
      <c r="B318" t="inlineStr">
        <is>
          <t>Spannerworx</t>
        </is>
      </c>
      <c r="C318" t="inlineStr">
        <is>
          <t>ms Alpha Romeo Trevor Tuck</t>
        </is>
      </c>
      <c r="D318" s="206" t="n">
        <v>42032</v>
      </c>
      <c r="E318" t="inlineStr">
        <is>
          <t>Motorsport</t>
        </is>
      </c>
      <c r="F318" t="inlineStr"/>
      <c r="G318" t="inlineStr">
        <is>
          <t>Low</t>
        </is>
      </c>
      <c r="H318" t="inlineStr">
        <is>
          <t>Unknown</t>
        </is>
      </c>
      <c r="I318" t="inlineStr">
        <is>
          <t>2025-07-26</t>
        </is>
      </c>
      <c r="J318" t="inlineStr"/>
      <c r="K318" t="inlineStr"/>
    </row>
    <row r="319">
      <c r="A319" t="n">
        <v>318</v>
      </c>
      <c r="B319" t="inlineStr">
        <is>
          <t>Allwagen</t>
        </is>
      </c>
      <c r="C319" t="inlineStr">
        <is>
          <t>ms Andy Allwagen</t>
        </is>
      </c>
      <c r="D319" s="206" t="n">
        <v>44376</v>
      </c>
      <c r="E319" t="inlineStr">
        <is>
          <t>Motorsport</t>
        </is>
      </c>
      <c r="F319" t="inlineStr"/>
      <c r="G319" t="inlineStr">
        <is>
          <t>Low</t>
        </is>
      </c>
      <c r="H319" t="inlineStr">
        <is>
          <t>Unknown</t>
        </is>
      </c>
      <c r="I319" t="inlineStr">
        <is>
          <t>2025-07-26</t>
        </is>
      </c>
      <c r="J319" t="inlineStr"/>
      <c r="K319" t="inlineStr"/>
    </row>
    <row r="320">
      <c r="A320" t="n">
        <v>319</v>
      </c>
      <c r="B320" t="inlineStr">
        <is>
          <t>Exclusive Conversions</t>
        </is>
      </c>
      <c r="C320" t="inlineStr">
        <is>
          <t>ms Anton Decker</t>
        </is>
      </c>
      <c r="D320" t="inlineStr"/>
      <c r="E320" t="inlineStr">
        <is>
          <t>Motorsport</t>
        </is>
      </c>
      <c r="F320" t="inlineStr"/>
      <c r="G320" t="inlineStr">
        <is>
          <t>Low</t>
        </is>
      </c>
      <c r="H320" t="inlineStr">
        <is>
          <t>Unknown</t>
        </is>
      </c>
      <c r="I320" t="inlineStr">
        <is>
          <t>2025-07-26</t>
        </is>
      </c>
      <c r="J320" t="inlineStr"/>
      <c r="K320" t="inlineStr"/>
    </row>
    <row r="321">
      <c r="A321" t="n">
        <v>320</v>
      </c>
      <c r="B321" t="inlineStr">
        <is>
          <t>Auby Boys Racing</t>
        </is>
      </c>
      <c r="C321" t="inlineStr">
        <is>
          <t>ms Auby Boys Racing</t>
        </is>
      </c>
      <c r="D321" s="206" t="n">
        <v>41225</v>
      </c>
      <c r="E321" t="inlineStr">
        <is>
          <t>Motorsport</t>
        </is>
      </c>
      <c r="F321" t="inlineStr"/>
      <c r="G321" t="inlineStr">
        <is>
          <t>Low</t>
        </is>
      </c>
      <c r="H321" t="inlineStr">
        <is>
          <t>Unknown</t>
        </is>
      </c>
      <c r="I321" t="inlineStr">
        <is>
          <t>2025-07-26</t>
        </is>
      </c>
      <c r="J321" t="inlineStr"/>
      <c r="K321" t="inlineStr"/>
    </row>
    <row r="322">
      <c r="A322" t="n">
        <v>321</v>
      </c>
      <c r="B322" t="inlineStr">
        <is>
          <t>Auto Associates</t>
        </is>
      </c>
      <c r="C322" t="inlineStr">
        <is>
          <t>ms Auto Associates</t>
        </is>
      </c>
      <c r="D322" s="206" t="n">
        <v>41705</v>
      </c>
      <c r="E322" t="inlineStr">
        <is>
          <t>Motorsport</t>
        </is>
      </c>
      <c r="F322" t="inlineStr"/>
      <c r="G322" t="inlineStr">
        <is>
          <t>Low</t>
        </is>
      </c>
      <c r="H322" t="inlineStr">
        <is>
          <t>Unknown</t>
        </is>
      </c>
      <c r="I322" t="inlineStr">
        <is>
          <t>2025-07-26</t>
        </is>
      </c>
      <c r="J322" t="inlineStr"/>
      <c r="K322" t="inlineStr"/>
    </row>
    <row r="323">
      <c r="A323" t="n">
        <v>322</v>
      </c>
      <c r="B323" t="inlineStr">
        <is>
          <t>AutoCom</t>
        </is>
      </c>
      <c r="C323" t="inlineStr">
        <is>
          <t>ms AutoCom</t>
        </is>
      </c>
      <c r="D323" s="206" t="n">
        <v>41574</v>
      </c>
      <c r="E323" t="inlineStr">
        <is>
          <t>Motorsport</t>
        </is>
      </c>
      <c r="F323" t="inlineStr"/>
      <c r="G323" t="inlineStr">
        <is>
          <t>Low</t>
        </is>
      </c>
      <c r="H323" t="inlineStr">
        <is>
          <t>Unknown</t>
        </is>
      </c>
      <c r="I323" t="inlineStr">
        <is>
          <t>2025-07-26</t>
        </is>
      </c>
      <c r="J323" t="inlineStr"/>
      <c r="K323" t="inlineStr"/>
    </row>
    <row r="324">
      <c r="A324" t="n">
        <v>323</v>
      </c>
      <c r="B324" t="inlineStr">
        <is>
          <t>Autohaus Angel</t>
        </is>
      </c>
      <c r="C324" t="inlineStr">
        <is>
          <t>ms Autohaus Angel</t>
        </is>
      </c>
      <c r="D324" s="206" t="n">
        <v>43664</v>
      </c>
      <c r="E324" t="inlineStr">
        <is>
          <t>Motorsport</t>
        </is>
      </c>
      <c r="F324" t="inlineStr"/>
      <c r="G324" t="inlineStr">
        <is>
          <t>Low</t>
        </is>
      </c>
      <c r="H324" t="inlineStr">
        <is>
          <t>Unknown</t>
        </is>
      </c>
      <c r="I324" t="inlineStr">
        <is>
          <t>2025-07-26</t>
        </is>
      </c>
      <c r="J324" t="inlineStr"/>
      <c r="K324" t="inlineStr"/>
    </row>
    <row r="325">
      <c r="A325" t="n">
        <v>324</v>
      </c>
      <c r="B325" t="inlineStr">
        <is>
          <t>Azoic Panelbeaters</t>
        </is>
      </c>
      <c r="C325" t="inlineStr">
        <is>
          <t>ms Azoic</t>
        </is>
      </c>
      <c r="D325" s="206" t="n">
        <v>42563</v>
      </c>
      <c r="E325" t="inlineStr">
        <is>
          <t>Motorsport</t>
        </is>
      </c>
      <c r="F325" t="inlineStr"/>
      <c r="G325" t="inlineStr">
        <is>
          <t>Low</t>
        </is>
      </c>
      <c r="H325" t="inlineStr">
        <is>
          <t>Unknown</t>
        </is>
      </c>
      <c r="I325" t="inlineStr">
        <is>
          <t>2025-07-26</t>
        </is>
      </c>
      <c r="J325" t="inlineStr"/>
      <c r="K325" t="inlineStr"/>
    </row>
    <row r="326">
      <c r="A326" t="n">
        <v>325</v>
      </c>
      <c r="B326" t="inlineStr">
        <is>
          <t>Seven mile trading 424 cc T/A B Speed</t>
        </is>
      </c>
      <c r="C326" t="inlineStr">
        <is>
          <t>ms B Speed</t>
        </is>
      </c>
      <c r="D326" s="206" t="n">
        <v>44414</v>
      </c>
      <c r="E326" t="inlineStr">
        <is>
          <t>Motorsport</t>
        </is>
      </c>
      <c r="F326" t="inlineStr"/>
      <c r="G326" t="inlineStr">
        <is>
          <t>Low</t>
        </is>
      </c>
      <c r="H326" t="inlineStr">
        <is>
          <t>Unknown</t>
        </is>
      </c>
      <c r="I326" t="inlineStr">
        <is>
          <t>2025-07-26</t>
        </is>
      </c>
      <c r="J326" t="inlineStr"/>
      <c r="K326" t="inlineStr"/>
    </row>
    <row r="327">
      <c r="A327" t="n">
        <v>326</v>
      </c>
      <c r="B327" t="inlineStr">
        <is>
          <t>Randfontein Paneelkloppers</t>
        </is>
      </c>
      <c r="C327" t="inlineStr">
        <is>
          <t>ms Ben Morgenrood</t>
        </is>
      </c>
      <c r="D327" s="206" t="n">
        <v>40620</v>
      </c>
      <c r="E327" t="inlineStr">
        <is>
          <t>Motorsport</t>
        </is>
      </c>
      <c r="F327" t="inlineStr"/>
      <c r="G327" t="inlineStr">
        <is>
          <t>Low</t>
        </is>
      </c>
      <c r="H327" t="inlineStr">
        <is>
          <t>Unknown</t>
        </is>
      </c>
      <c r="I327" t="inlineStr">
        <is>
          <t>2025-07-26</t>
        </is>
      </c>
      <c r="J327" t="inlineStr"/>
      <c r="K327" t="inlineStr"/>
    </row>
    <row r="328">
      <c r="A328" t="n">
        <v>327</v>
      </c>
      <c r="B328" t="inlineStr">
        <is>
          <t>Wayne Niz</t>
        </is>
      </c>
      <c r="C328" t="inlineStr">
        <is>
          <t>ms BMW  Wayne Niz</t>
        </is>
      </c>
      <c r="D328" s="206" t="n">
        <v>41225</v>
      </c>
      <c r="E328" t="inlineStr">
        <is>
          <t>Motorsport</t>
        </is>
      </c>
      <c r="F328" t="inlineStr"/>
      <c r="G328" t="inlineStr">
        <is>
          <t>Low</t>
        </is>
      </c>
      <c r="H328" t="inlineStr">
        <is>
          <t>Unknown</t>
        </is>
      </c>
      <c r="I328" t="inlineStr">
        <is>
          <t>2025-07-26</t>
        </is>
      </c>
      <c r="J328" t="inlineStr"/>
      <c r="K328" t="inlineStr"/>
    </row>
    <row r="329">
      <c r="A329" t="n">
        <v>328</v>
      </c>
      <c r="B329" t="inlineStr">
        <is>
          <t>Evolution 2 Motorsport</t>
        </is>
      </c>
      <c r="C329" t="inlineStr">
        <is>
          <t>ms BMW Kaye Eddie</t>
        </is>
      </c>
      <c r="D329" s="206" t="n">
        <v>38162</v>
      </c>
      <c r="E329" t="inlineStr">
        <is>
          <t>Motorsport</t>
        </is>
      </c>
      <c r="F329" t="inlineStr"/>
      <c r="G329" t="inlineStr">
        <is>
          <t>Low</t>
        </is>
      </c>
      <c r="H329" t="inlineStr">
        <is>
          <t>Unknown</t>
        </is>
      </c>
      <c r="I329" t="inlineStr">
        <is>
          <t>2025-07-26</t>
        </is>
      </c>
      <c r="J329" t="inlineStr"/>
      <c r="K329" t="inlineStr"/>
    </row>
    <row r="330">
      <c r="A330" t="n">
        <v>329</v>
      </c>
      <c r="B330" t="inlineStr">
        <is>
          <t>BMW Montana</t>
        </is>
      </c>
      <c r="C330" t="inlineStr">
        <is>
          <t>ms BMW Montana</t>
        </is>
      </c>
      <c r="D330" s="206" t="n">
        <v>44229</v>
      </c>
      <c r="E330" t="inlineStr">
        <is>
          <t>Motorsport</t>
        </is>
      </c>
      <c r="F330" t="inlineStr"/>
      <c r="G330" t="inlineStr">
        <is>
          <t>Low</t>
        </is>
      </c>
      <c r="H330" t="inlineStr">
        <is>
          <t>Unknown</t>
        </is>
      </c>
      <c r="I330" t="inlineStr">
        <is>
          <t>2025-07-26</t>
        </is>
      </c>
      <c r="J330" t="inlineStr"/>
      <c r="K330" t="inlineStr"/>
    </row>
    <row r="331">
      <c r="A331" t="n">
        <v>330</v>
      </c>
      <c r="B331" t="inlineStr">
        <is>
          <t>BMW South Africa (SA) (Pty) Ltd</t>
        </is>
      </c>
      <c r="C331" t="inlineStr">
        <is>
          <t>ms BMW Motorsport</t>
        </is>
      </c>
      <c r="D331" s="206" t="n">
        <v>39391</v>
      </c>
      <c r="E331" t="inlineStr">
        <is>
          <t>Motorsport</t>
        </is>
      </c>
      <c r="F331" t="inlineStr"/>
      <c r="G331" t="inlineStr">
        <is>
          <t>Low</t>
        </is>
      </c>
      <c r="H331" t="inlineStr">
        <is>
          <t>Unknown</t>
        </is>
      </c>
      <c r="I331" t="inlineStr">
        <is>
          <t>2025-07-26</t>
        </is>
      </c>
      <c r="J331" t="inlineStr"/>
      <c r="K331" t="inlineStr"/>
    </row>
    <row r="332">
      <c r="A332" t="n">
        <v>331</v>
      </c>
      <c r="B332" t="inlineStr">
        <is>
          <t>Riaan</t>
        </is>
      </c>
      <c r="C332" t="inlineStr">
        <is>
          <t>ms BMW Riaan</t>
        </is>
      </c>
      <c r="D332" s="206" t="n">
        <v>40990</v>
      </c>
      <c r="E332" t="inlineStr">
        <is>
          <t>Motorsport</t>
        </is>
      </c>
      <c r="F332" t="inlineStr"/>
      <c r="G332" t="inlineStr">
        <is>
          <t>Low</t>
        </is>
      </c>
      <c r="H332" t="inlineStr">
        <is>
          <t>Unknown</t>
        </is>
      </c>
      <c r="I332" t="inlineStr">
        <is>
          <t>2025-07-26</t>
        </is>
      </c>
      <c r="J332" t="inlineStr"/>
      <c r="K332" t="inlineStr"/>
    </row>
    <row r="333">
      <c r="A333" t="n">
        <v>332</v>
      </c>
      <c r="B333" t="inlineStr">
        <is>
          <t>C3</t>
        </is>
      </c>
      <c r="C333" t="inlineStr">
        <is>
          <t>ms C3 ferrari</t>
        </is>
      </c>
      <c r="D333" s="206" t="n">
        <v>41529</v>
      </c>
      <c r="E333" t="inlineStr">
        <is>
          <t>Motorsport</t>
        </is>
      </c>
      <c r="F333" t="inlineStr"/>
      <c r="G333" t="inlineStr">
        <is>
          <t>Low</t>
        </is>
      </c>
      <c r="H333" t="inlineStr">
        <is>
          <t>Unknown</t>
        </is>
      </c>
      <c r="I333" t="inlineStr">
        <is>
          <t>2025-07-26</t>
        </is>
      </c>
      <c r="J333" t="inlineStr"/>
      <c r="K333" t="inlineStr"/>
    </row>
    <row r="334">
      <c r="A334" t="n">
        <v>333</v>
      </c>
      <c r="B334" t="inlineStr">
        <is>
          <t>Carello Auto</t>
        </is>
      </c>
      <c r="C334" t="inlineStr">
        <is>
          <t>ms Carello Auto</t>
        </is>
      </c>
      <c r="D334" s="206" t="n">
        <v>43308</v>
      </c>
      <c r="E334" t="inlineStr">
        <is>
          <t>Motorsport</t>
        </is>
      </c>
      <c r="F334" t="inlineStr"/>
      <c r="G334" t="inlineStr">
        <is>
          <t>Low</t>
        </is>
      </c>
      <c r="H334" t="inlineStr">
        <is>
          <t>Unknown</t>
        </is>
      </c>
      <c r="I334" t="inlineStr">
        <is>
          <t>2025-07-26</t>
        </is>
      </c>
      <c r="J334" t="inlineStr"/>
      <c r="K334" t="inlineStr"/>
    </row>
    <row r="335">
      <c r="A335" t="n">
        <v>334</v>
      </c>
      <c r="B335" t="inlineStr">
        <is>
          <t>Tilt Advisory (Pty) Ltd</t>
        </is>
      </c>
      <c r="C335" t="inlineStr">
        <is>
          <t>ms Chris Budnik</t>
        </is>
      </c>
      <c r="D335" s="206" t="n">
        <v>45035</v>
      </c>
      <c r="E335" t="inlineStr">
        <is>
          <t>Motorsport</t>
        </is>
      </c>
      <c r="F335" t="inlineStr"/>
      <c r="G335" t="inlineStr">
        <is>
          <t>Low</t>
        </is>
      </c>
      <c r="H335" t="inlineStr">
        <is>
          <t>Unknown</t>
        </is>
      </c>
      <c r="I335" t="inlineStr">
        <is>
          <t>2025-07-26</t>
        </is>
      </c>
      <c r="J335" t="inlineStr"/>
      <c r="K335" t="inlineStr"/>
    </row>
    <row r="336">
      <c r="A336" t="n">
        <v>335</v>
      </c>
      <c r="B336" t="inlineStr">
        <is>
          <t>Exceed</t>
        </is>
      </c>
      <c r="C336" t="inlineStr">
        <is>
          <t>ms Christo Lotter</t>
        </is>
      </c>
      <c r="D336" s="206" t="n">
        <v>41291</v>
      </c>
      <c r="E336" t="inlineStr">
        <is>
          <t>Motorsport</t>
        </is>
      </c>
      <c r="F336" t="inlineStr"/>
      <c r="G336" t="inlineStr">
        <is>
          <t>Low</t>
        </is>
      </c>
      <c r="H336" t="inlineStr">
        <is>
          <t>Unknown</t>
        </is>
      </c>
      <c r="I336" t="inlineStr">
        <is>
          <t>2025-07-26</t>
        </is>
      </c>
      <c r="J336" t="inlineStr"/>
      <c r="K336" t="inlineStr"/>
    </row>
    <row r="337">
      <c r="A337" t="n">
        <v>336</v>
      </c>
      <c r="B337" t="inlineStr">
        <is>
          <t>City Used Spares</t>
        </is>
      </c>
      <c r="C337" t="inlineStr">
        <is>
          <t>ms City Used Spares</t>
        </is>
      </c>
      <c r="D337" s="206" t="n">
        <v>40987</v>
      </c>
      <c r="E337" t="inlineStr">
        <is>
          <t>Motorsport</t>
        </is>
      </c>
      <c r="F337" t="inlineStr"/>
      <c r="G337" t="inlineStr">
        <is>
          <t>Low</t>
        </is>
      </c>
      <c r="H337" t="inlineStr">
        <is>
          <t>Unknown</t>
        </is>
      </c>
      <c r="I337" t="inlineStr">
        <is>
          <t>2025-07-26</t>
        </is>
      </c>
      <c r="J337" t="inlineStr"/>
      <c r="K337" t="inlineStr"/>
    </row>
    <row r="338">
      <c r="A338" t="n">
        <v>337</v>
      </c>
      <c r="B338" t="inlineStr">
        <is>
          <t>Colt &amp; Toyota Spares</t>
        </is>
      </c>
      <c r="C338" t="inlineStr">
        <is>
          <t>ms Colt &amp; Toyota Spares</t>
        </is>
      </c>
      <c r="D338" s="206" t="n">
        <v>45264</v>
      </c>
      <c r="E338" t="inlineStr">
        <is>
          <t>Motorsport</t>
        </is>
      </c>
      <c r="F338" t="inlineStr"/>
      <c r="G338" t="inlineStr">
        <is>
          <t>Low</t>
        </is>
      </c>
      <c r="H338" t="inlineStr">
        <is>
          <t>Unknown</t>
        </is>
      </c>
      <c r="I338" t="inlineStr">
        <is>
          <t>2025-07-26</t>
        </is>
      </c>
      <c r="J338" t="inlineStr"/>
      <c r="K338" t="inlineStr"/>
    </row>
    <row r="339">
      <c r="A339" t="n">
        <v>338</v>
      </c>
      <c r="B339" t="inlineStr">
        <is>
          <t>Comsol Networks (Pty) Ltd</t>
        </is>
      </c>
      <c r="C339" t="inlineStr">
        <is>
          <t>ms Comsol</t>
        </is>
      </c>
      <c r="D339" s="206" t="n">
        <v>43180</v>
      </c>
      <c r="E339" t="inlineStr">
        <is>
          <t>Motorsport</t>
        </is>
      </c>
      <c r="F339" t="inlineStr"/>
      <c r="G339" t="inlineStr">
        <is>
          <t>Low</t>
        </is>
      </c>
      <c r="H339" t="inlineStr">
        <is>
          <t>Unknown</t>
        </is>
      </c>
      <c r="I339" t="inlineStr">
        <is>
          <t>2025-07-26</t>
        </is>
      </c>
      <c r="J339" t="inlineStr"/>
      <c r="K339" t="inlineStr"/>
    </row>
    <row r="340">
      <c r="A340" t="n">
        <v>339</v>
      </c>
      <c r="B340" t="inlineStr">
        <is>
          <t>Curvent International Pty Ltd</t>
        </is>
      </c>
      <c r="C340" t="inlineStr">
        <is>
          <t>ms Curvent Ferrari</t>
        </is>
      </c>
      <c r="D340" s="206" t="n">
        <v>41334</v>
      </c>
      <c r="E340" t="inlineStr">
        <is>
          <t>Motorsport</t>
        </is>
      </c>
      <c r="F340" t="inlineStr"/>
      <c r="G340" t="inlineStr">
        <is>
          <t>Low</t>
        </is>
      </c>
      <c r="H340" t="inlineStr">
        <is>
          <t>Unknown</t>
        </is>
      </c>
      <c r="I340" t="inlineStr">
        <is>
          <t>2025-07-26</t>
        </is>
      </c>
      <c r="J340" t="inlineStr"/>
      <c r="K340" t="inlineStr"/>
    </row>
    <row r="341">
      <c r="A341" t="n">
        <v>340</v>
      </c>
      <c r="B341" t="inlineStr">
        <is>
          <t>The Customs Shop</t>
        </is>
      </c>
      <c r="C341" t="inlineStr">
        <is>
          <t>ms Custom shop</t>
        </is>
      </c>
      <c r="D341" s="206" t="n">
        <v>43857</v>
      </c>
      <c r="E341" t="inlineStr">
        <is>
          <t>Motorsport</t>
        </is>
      </c>
      <c r="F341" t="inlineStr"/>
      <c r="G341" t="inlineStr">
        <is>
          <t>Low</t>
        </is>
      </c>
      <c r="H341" t="inlineStr">
        <is>
          <t>Unknown</t>
        </is>
      </c>
      <c r="I341" t="inlineStr">
        <is>
          <t>2025-07-26</t>
        </is>
      </c>
      <c r="J341" t="inlineStr"/>
      <c r="K341" t="inlineStr"/>
    </row>
    <row r="342">
      <c r="A342" t="n">
        <v>341</v>
      </c>
      <c r="B342" t="inlineStr">
        <is>
          <t>Danlou Motors</t>
        </is>
      </c>
      <c r="C342" t="inlineStr">
        <is>
          <t>ms Danlou Motors</t>
        </is>
      </c>
      <c r="D342" s="206" t="n">
        <v>40254</v>
      </c>
      <c r="E342" t="inlineStr">
        <is>
          <t>Motorsport</t>
        </is>
      </c>
      <c r="F342" t="inlineStr"/>
      <c r="G342" t="inlineStr">
        <is>
          <t>Low</t>
        </is>
      </c>
      <c r="H342" t="inlineStr">
        <is>
          <t>Unknown</t>
        </is>
      </c>
      <c r="I342" t="inlineStr">
        <is>
          <t>2025-07-26</t>
        </is>
      </c>
      <c r="J342" t="inlineStr"/>
      <c r="K342" t="inlineStr"/>
    </row>
    <row r="343">
      <c r="A343" t="n">
        <v>342</v>
      </c>
      <c r="B343" t="inlineStr">
        <is>
          <t>Demac Auto</t>
        </is>
      </c>
      <c r="C343" t="inlineStr">
        <is>
          <t>ms Derek Minnie</t>
        </is>
      </c>
      <c r="D343" s="206" t="n">
        <v>45106</v>
      </c>
      <c r="E343" t="inlineStr">
        <is>
          <t>Motorsport</t>
        </is>
      </c>
      <c r="F343" t="inlineStr"/>
      <c r="G343" t="inlineStr">
        <is>
          <t>Low</t>
        </is>
      </c>
      <c r="H343" t="inlineStr">
        <is>
          <t>Unknown</t>
        </is>
      </c>
      <c r="I343" t="inlineStr">
        <is>
          <t>2025-07-26</t>
        </is>
      </c>
      <c r="J343" t="inlineStr"/>
      <c r="K343" t="inlineStr"/>
    </row>
    <row r="344">
      <c r="A344" t="n">
        <v>343</v>
      </c>
      <c r="B344" t="inlineStr">
        <is>
          <t>Dynamic Tyre Solutions</t>
        </is>
      </c>
      <c r="C344" t="inlineStr">
        <is>
          <t>ms Dynamic Tyre Solutions</t>
        </is>
      </c>
      <c r="D344" s="206" t="n">
        <v>44075</v>
      </c>
      <c r="E344" t="inlineStr">
        <is>
          <t>Motorsport</t>
        </is>
      </c>
      <c r="F344" t="inlineStr"/>
      <c r="G344" t="inlineStr">
        <is>
          <t>Low</t>
        </is>
      </c>
      <c r="H344" t="inlineStr">
        <is>
          <t>Unknown</t>
        </is>
      </c>
      <c r="I344" t="inlineStr">
        <is>
          <t>2025-07-26</t>
        </is>
      </c>
      <c r="J344" t="inlineStr"/>
      <c r="K344" t="inlineStr"/>
    </row>
    <row r="345">
      <c r="A345" t="n">
        <v>344</v>
      </c>
      <c r="B345" t="inlineStr">
        <is>
          <t>A &amp; M Office Equipment</t>
        </is>
      </c>
      <c r="C345" t="inlineStr">
        <is>
          <t>ms Ernest E Type Jag</t>
        </is>
      </c>
      <c r="D345" s="206" t="n">
        <v>40421</v>
      </c>
      <c r="E345" t="inlineStr">
        <is>
          <t>Motorsport</t>
        </is>
      </c>
      <c r="F345" t="inlineStr"/>
      <c r="G345" t="inlineStr">
        <is>
          <t>Low</t>
        </is>
      </c>
      <c r="H345" t="inlineStr">
        <is>
          <t>Unknown</t>
        </is>
      </c>
      <c r="I345" t="inlineStr">
        <is>
          <t>2025-07-26</t>
        </is>
      </c>
      <c r="J345" t="inlineStr"/>
      <c r="K345" t="inlineStr"/>
    </row>
    <row r="346">
      <c r="A346" t="n">
        <v>345</v>
      </c>
      <c r="B346" t="inlineStr">
        <is>
          <t>Evolution * 2 Motorsport</t>
        </is>
      </c>
      <c r="C346" t="inlineStr">
        <is>
          <t>ms evolution 2 bmw kay eddie</t>
        </is>
      </c>
      <c r="D346" s="206" t="n">
        <v>43494</v>
      </c>
      <c r="E346" t="inlineStr">
        <is>
          <t>Motorsport</t>
        </is>
      </c>
      <c r="F346" t="inlineStr"/>
      <c r="G346" t="inlineStr">
        <is>
          <t>Low</t>
        </is>
      </c>
      <c r="H346" t="inlineStr">
        <is>
          <t>Unknown</t>
        </is>
      </c>
      <c r="I346" t="inlineStr">
        <is>
          <t>2025-07-26</t>
        </is>
      </c>
      <c r="J346" t="inlineStr"/>
      <c r="K346" t="inlineStr"/>
    </row>
    <row r="347">
      <c r="A347" t="n">
        <v>346</v>
      </c>
      <c r="B347" t="inlineStr">
        <is>
          <t>Exclusive Autos</t>
        </is>
      </c>
      <c r="C347" t="inlineStr">
        <is>
          <t>ms Exclusive Autos</t>
        </is>
      </c>
      <c r="D347" s="206" t="n">
        <v>41408</v>
      </c>
      <c r="E347" t="inlineStr">
        <is>
          <t>Motorsport</t>
        </is>
      </c>
      <c r="F347" t="inlineStr"/>
      <c r="G347" t="inlineStr">
        <is>
          <t>Low</t>
        </is>
      </c>
      <c r="H347" t="inlineStr">
        <is>
          <t>Unknown</t>
        </is>
      </c>
      <c r="I347" t="inlineStr">
        <is>
          <t>2025-07-26</t>
        </is>
      </c>
      <c r="J347" t="inlineStr"/>
      <c r="K347" t="inlineStr"/>
    </row>
    <row r="348">
      <c r="A348" t="n">
        <v>347</v>
      </c>
      <c r="B348" t="inlineStr">
        <is>
          <t>FAST DEVELOPMENT CC</t>
        </is>
      </c>
      <c r="C348" t="inlineStr">
        <is>
          <t>ms FAST DEVELOPMENT CC</t>
        </is>
      </c>
      <c r="D348" s="206" t="n">
        <v>45855</v>
      </c>
      <c r="E348" t="inlineStr">
        <is>
          <t>Motorsport</t>
        </is>
      </c>
      <c r="F348" t="inlineStr"/>
      <c r="G348" t="inlineStr">
        <is>
          <t>Low</t>
        </is>
      </c>
      <c r="H348" t="inlineStr">
        <is>
          <t>Unknown</t>
        </is>
      </c>
      <c r="I348" t="inlineStr">
        <is>
          <t>2025-07-26</t>
        </is>
      </c>
      <c r="J348" t="inlineStr"/>
      <c r="K348" t="inlineStr"/>
    </row>
    <row r="349">
      <c r="A349" t="n">
        <v>348</v>
      </c>
      <c r="B349" t="inlineStr">
        <is>
          <t>Flawless Auto</t>
        </is>
      </c>
      <c r="C349" t="inlineStr">
        <is>
          <t>ms Flawless Auto</t>
        </is>
      </c>
      <c r="D349" s="206" t="n">
        <v>40871</v>
      </c>
      <c r="E349" t="inlineStr">
        <is>
          <t>Motorsport</t>
        </is>
      </c>
      <c r="F349" t="inlineStr"/>
      <c r="G349" t="inlineStr">
        <is>
          <t>Low</t>
        </is>
      </c>
      <c r="H349" t="inlineStr">
        <is>
          <t>Unknown</t>
        </is>
      </c>
      <c r="I349" t="inlineStr">
        <is>
          <t>2025-07-26</t>
        </is>
      </c>
      <c r="J349" t="inlineStr"/>
      <c r="K349" t="inlineStr"/>
    </row>
    <row r="350">
      <c r="A350" t="n">
        <v>349</v>
      </c>
      <c r="B350" t="inlineStr">
        <is>
          <t>Stanger Auto</t>
        </is>
      </c>
      <c r="C350" t="inlineStr">
        <is>
          <t>ms Ford Janus</t>
        </is>
      </c>
      <c r="D350" s="206" t="n">
        <v>41688</v>
      </c>
      <c r="E350" t="inlineStr">
        <is>
          <t>Motorsport</t>
        </is>
      </c>
      <c r="F350" t="inlineStr"/>
      <c r="G350" t="inlineStr">
        <is>
          <t>Low</t>
        </is>
      </c>
      <c r="H350" t="inlineStr">
        <is>
          <t>Unknown</t>
        </is>
      </c>
      <c r="I350" t="inlineStr">
        <is>
          <t>2025-07-26</t>
        </is>
      </c>
      <c r="J350" t="inlineStr"/>
      <c r="K350" t="inlineStr"/>
    </row>
    <row r="351">
      <c r="A351" t="n">
        <v>350</v>
      </c>
      <c r="B351" t="inlineStr">
        <is>
          <t>Vaalshow Group PTY LTD</t>
        </is>
      </c>
      <c r="C351" t="inlineStr">
        <is>
          <t>ms Fynie</t>
        </is>
      </c>
      <c r="D351" s="206" t="n">
        <v>44088</v>
      </c>
      <c r="E351" t="inlineStr">
        <is>
          <t>Motorsport</t>
        </is>
      </c>
      <c r="F351" t="inlineStr"/>
      <c r="G351" t="inlineStr">
        <is>
          <t>Low</t>
        </is>
      </c>
      <c r="H351" t="inlineStr">
        <is>
          <t>Unknown</t>
        </is>
      </c>
      <c r="I351" t="inlineStr">
        <is>
          <t>2025-07-26</t>
        </is>
      </c>
      <c r="J351" t="inlineStr"/>
      <c r="K351" t="inlineStr"/>
    </row>
    <row r="352">
      <c r="A352" t="n">
        <v>351</v>
      </c>
      <c r="B352" t="inlineStr">
        <is>
          <t>Turnmill Proquip Engineering</t>
        </is>
      </c>
      <c r="C352" t="inlineStr">
        <is>
          <t>ms Fynie Turnmill</t>
        </is>
      </c>
      <c r="D352" s="206" t="n">
        <v>45565</v>
      </c>
      <c r="E352" t="inlineStr">
        <is>
          <t>Motorsport</t>
        </is>
      </c>
      <c r="F352" t="inlineStr"/>
      <c r="G352" t="inlineStr">
        <is>
          <t>Low</t>
        </is>
      </c>
      <c r="H352" t="inlineStr">
        <is>
          <t>Unknown</t>
        </is>
      </c>
      <c r="I352" t="inlineStr">
        <is>
          <t>2025-07-26</t>
        </is>
      </c>
      <c r="J352" t="inlineStr"/>
      <c r="K352" t="inlineStr"/>
    </row>
    <row r="353">
      <c r="A353" t="n">
        <v>352</v>
      </c>
      <c r="B353" t="inlineStr">
        <is>
          <t>G&amp;H Racing</t>
        </is>
      </c>
      <c r="C353" t="inlineStr">
        <is>
          <t>ms G&amp;H Racing</t>
        </is>
      </c>
      <c r="D353" s="206" t="n">
        <v>45149</v>
      </c>
      <c r="E353" t="inlineStr">
        <is>
          <t>Motorsport</t>
        </is>
      </c>
      <c r="F353" t="inlineStr"/>
      <c r="G353" t="inlineStr">
        <is>
          <t>Low</t>
        </is>
      </c>
      <c r="H353" t="inlineStr">
        <is>
          <t>Unknown</t>
        </is>
      </c>
      <c r="I353" t="inlineStr">
        <is>
          <t>2025-07-26</t>
        </is>
      </c>
      <c r="J353" t="inlineStr"/>
      <c r="K353" t="inlineStr"/>
    </row>
    <row r="354">
      <c r="A354" t="n">
        <v>353</v>
      </c>
      <c r="B354" t="inlineStr">
        <is>
          <t>GAP Motorsport</t>
        </is>
      </c>
      <c r="C354" t="inlineStr">
        <is>
          <t>ms GAP</t>
        </is>
      </c>
      <c r="D354" s="206" t="n">
        <v>45223</v>
      </c>
      <c r="E354" t="inlineStr">
        <is>
          <t>Motorsport</t>
        </is>
      </c>
      <c r="F354" t="inlineStr"/>
      <c r="G354" t="inlineStr">
        <is>
          <t>Low</t>
        </is>
      </c>
      <c r="H354" t="inlineStr">
        <is>
          <t>Unknown</t>
        </is>
      </c>
      <c r="I354" t="inlineStr">
        <is>
          <t>2025-07-26</t>
        </is>
      </c>
      <c r="J354" t="inlineStr"/>
      <c r="K354" t="inlineStr"/>
    </row>
    <row r="355">
      <c r="A355" t="n">
        <v>354</v>
      </c>
      <c r="B355" t="inlineStr">
        <is>
          <t>Gawie Marais</t>
        </is>
      </c>
      <c r="C355" t="inlineStr">
        <is>
          <t>ms Gawie Marais</t>
        </is>
      </c>
      <c r="D355" s="206" t="n">
        <v>42089</v>
      </c>
      <c r="E355" t="inlineStr">
        <is>
          <t>Motorsport</t>
        </is>
      </c>
      <c r="F355" t="inlineStr"/>
      <c r="G355" t="inlineStr">
        <is>
          <t>Low</t>
        </is>
      </c>
      <c r="H355" t="inlineStr">
        <is>
          <t>Unknown</t>
        </is>
      </c>
      <c r="I355" t="inlineStr">
        <is>
          <t>2025-07-26</t>
        </is>
      </c>
      <c r="J355" t="inlineStr"/>
      <c r="K355" t="inlineStr"/>
    </row>
    <row r="356">
      <c r="A356" t="n">
        <v>355</v>
      </c>
      <c r="B356" t="inlineStr">
        <is>
          <t>SS Telecoms (Pty) Ltd</t>
        </is>
      </c>
      <c r="C356" t="inlineStr">
        <is>
          <t>ms george smalberger</t>
        </is>
      </c>
      <c r="D356" s="206" t="n">
        <v>42025</v>
      </c>
      <c r="E356" t="inlineStr">
        <is>
          <t>Motorsport</t>
        </is>
      </c>
      <c r="F356" t="inlineStr"/>
      <c r="G356" t="inlineStr">
        <is>
          <t>Low</t>
        </is>
      </c>
      <c r="H356" t="inlineStr">
        <is>
          <t>Unknown</t>
        </is>
      </c>
      <c r="I356" t="inlineStr">
        <is>
          <t>2025-07-26</t>
        </is>
      </c>
      <c r="J356" t="inlineStr"/>
      <c r="K356" t="inlineStr"/>
    </row>
    <row r="357">
      <c r="A357" t="n">
        <v>356</v>
      </c>
      <c r="B357" t="inlineStr">
        <is>
          <t>Goldwagen Brits</t>
        </is>
      </c>
      <c r="C357" t="inlineStr">
        <is>
          <t>ms goldwagen Chico</t>
        </is>
      </c>
      <c r="D357" s="206" t="n">
        <v>41984</v>
      </c>
      <c r="E357" t="inlineStr">
        <is>
          <t>Motorsport</t>
        </is>
      </c>
      <c r="F357" t="inlineStr"/>
      <c r="G357" t="inlineStr">
        <is>
          <t>Low</t>
        </is>
      </c>
      <c r="H357" t="inlineStr">
        <is>
          <t>Unknown</t>
        </is>
      </c>
      <c r="I357" t="inlineStr">
        <is>
          <t>2025-07-26</t>
        </is>
      </c>
      <c r="J357" t="inlineStr"/>
      <c r="K357" t="inlineStr"/>
    </row>
    <row r="358">
      <c r="A358" t="n">
        <v>357</v>
      </c>
      <c r="B358" t="inlineStr">
        <is>
          <t>Grand Control Pty (Ltd)</t>
        </is>
      </c>
      <c r="C358" t="inlineStr">
        <is>
          <t>ms Grand Control Pty (Ltd)</t>
        </is>
      </c>
      <c r="D358" s="206" t="n">
        <v>45239</v>
      </c>
      <c r="E358" t="inlineStr">
        <is>
          <t>Motorsport</t>
        </is>
      </c>
      <c r="F358" t="inlineStr"/>
      <c r="G358" t="inlineStr">
        <is>
          <t>Low</t>
        </is>
      </c>
      <c r="H358" t="inlineStr">
        <is>
          <t>Unknown</t>
        </is>
      </c>
      <c r="I358" t="inlineStr">
        <is>
          <t>2025-07-26</t>
        </is>
      </c>
      <c r="J358" t="inlineStr"/>
      <c r="K358" t="inlineStr"/>
    </row>
    <row r="359">
      <c r="A359" t="n">
        <v>358</v>
      </c>
      <c r="B359" t="inlineStr">
        <is>
          <t>GT Tamping cc</t>
        </is>
      </c>
      <c r="C359" t="inlineStr">
        <is>
          <t>ms GT Tamping</t>
        </is>
      </c>
      <c r="D359" s="206" t="n">
        <v>40583</v>
      </c>
      <c r="E359" t="inlineStr">
        <is>
          <t>Motorsport</t>
        </is>
      </c>
      <c r="F359" t="inlineStr"/>
      <c r="G359" t="inlineStr">
        <is>
          <t>Low</t>
        </is>
      </c>
      <c r="H359" t="inlineStr">
        <is>
          <t>Unknown</t>
        </is>
      </c>
      <c r="I359" t="inlineStr">
        <is>
          <t>2025-07-26</t>
        </is>
      </c>
      <c r="J359" t="inlineStr"/>
      <c r="K359" t="inlineStr"/>
    </row>
    <row r="360">
      <c r="A360" t="n">
        <v>359</v>
      </c>
      <c r="B360" t="inlineStr">
        <is>
          <t>GT Clubsport</t>
        </is>
      </c>
      <c r="C360" t="inlineStr">
        <is>
          <t>ms gtclubsport</t>
        </is>
      </c>
      <c r="D360" s="206" t="n">
        <v>43082</v>
      </c>
      <c r="E360" t="inlineStr">
        <is>
          <t>Motorsport</t>
        </is>
      </c>
      <c r="F360" t="inlineStr"/>
      <c r="G360" t="inlineStr">
        <is>
          <t>Low</t>
        </is>
      </c>
      <c r="H360" t="inlineStr">
        <is>
          <t>Unknown</t>
        </is>
      </c>
      <c r="I360" t="inlineStr">
        <is>
          <t>2025-07-26</t>
        </is>
      </c>
      <c r="J360" t="inlineStr"/>
      <c r="K360" t="inlineStr"/>
    </row>
    <row r="361">
      <c r="A361" t="n">
        <v>360</v>
      </c>
      <c r="B361" t="inlineStr">
        <is>
          <t>SVR (Pty) Ltd</t>
        </is>
      </c>
      <c r="C361" t="inlineStr">
        <is>
          <t>ms Hallspeed</t>
        </is>
      </c>
      <c r="D361" s="206" t="n">
        <v>45665</v>
      </c>
      <c r="E361" t="inlineStr">
        <is>
          <t>Motorsport</t>
        </is>
      </c>
      <c r="F361" t="inlineStr"/>
      <c r="G361" t="inlineStr">
        <is>
          <t>Low</t>
        </is>
      </c>
      <c r="H361" t="inlineStr">
        <is>
          <t>Unknown</t>
        </is>
      </c>
      <c r="I361" t="inlineStr">
        <is>
          <t>2025-07-26</t>
        </is>
      </c>
      <c r="J361" t="inlineStr"/>
      <c r="K361" t="inlineStr"/>
    </row>
    <row r="362">
      <c r="A362" t="n">
        <v>361</v>
      </c>
      <c r="B362" t="inlineStr">
        <is>
          <t>Haupt Racing</t>
        </is>
      </c>
      <c r="C362" t="inlineStr">
        <is>
          <t>ms Haupt Racing</t>
        </is>
      </c>
      <c r="D362" s="206" t="n">
        <v>45350</v>
      </c>
      <c r="E362" t="inlineStr">
        <is>
          <t>Motorsport</t>
        </is>
      </c>
      <c r="F362" t="inlineStr"/>
      <c r="G362" t="inlineStr">
        <is>
          <t>Low</t>
        </is>
      </c>
      <c r="H362" t="inlineStr">
        <is>
          <t>Unknown</t>
        </is>
      </c>
      <c r="I362" t="inlineStr">
        <is>
          <t>2025-07-26</t>
        </is>
      </c>
      <c r="J362" t="inlineStr"/>
      <c r="K362" t="inlineStr"/>
    </row>
    <row r="363">
      <c r="A363" t="n">
        <v>362</v>
      </c>
      <c r="B363" t="inlineStr">
        <is>
          <t>JSR</t>
        </is>
      </c>
      <c r="C363" t="inlineStr">
        <is>
          <t>ms Honda JSR</t>
        </is>
      </c>
      <c r="D363" s="206" t="n">
        <v>40578</v>
      </c>
      <c r="E363" t="inlineStr">
        <is>
          <t>Motorsport</t>
        </is>
      </c>
      <c r="F363" t="inlineStr"/>
      <c r="G363" t="inlineStr">
        <is>
          <t>Low</t>
        </is>
      </c>
      <c r="H363" t="inlineStr">
        <is>
          <t>Unknown</t>
        </is>
      </c>
      <c r="I363" t="inlineStr">
        <is>
          <t>2025-07-26</t>
        </is>
      </c>
      <c r="J363" t="inlineStr"/>
      <c r="K363" t="inlineStr"/>
    </row>
    <row r="364">
      <c r="A364" t="n">
        <v>363</v>
      </c>
      <c r="B364" t="inlineStr">
        <is>
          <t>ID Paving and Contractors (Pty) Ltd</t>
        </is>
      </c>
      <c r="C364" t="inlineStr">
        <is>
          <t>ms ID Paving and Contractors (Pty) Ltd</t>
        </is>
      </c>
      <c r="D364" s="206" t="n">
        <v>45799</v>
      </c>
      <c r="E364" t="inlineStr">
        <is>
          <t>Motorsport</t>
        </is>
      </c>
      <c r="F364" t="inlineStr"/>
      <c r="G364" t="inlineStr">
        <is>
          <t>Low</t>
        </is>
      </c>
      <c r="H364" t="inlineStr">
        <is>
          <t>Unknown</t>
        </is>
      </c>
      <c r="I364" t="inlineStr">
        <is>
          <t>2025-07-26</t>
        </is>
      </c>
      <c r="J364" t="inlineStr"/>
      <c r="K364" t="inlineStr"/>
    </row>
    <row r="365">
      <c r="A365" t="n">
        <v>364</v>
      </c>
      <c r="B365" t="inlineStr">
        <is>
          <t>International Race Supplies</t>
        </is>
      </c>
      <c r="C365" t="inlineStr">
        <is>
          <t>ms Int Race Supplies</t>
        </is>
      </c>
      <c r="D365" s="206" t="n">
        <v>45260</v>
      </c>
      <c r="E365" t="inlineStr">
        <is>
          <t>Motorsport</t>
        </is>
      </c>
      <c r="F365" t="inlineStr"/>
      <c r="G365" t="inlineStr">
        <is>
          <t>Low</t>
        </is>
      </c>
      <c r="H365" t="inlineStr">
        <is>
          <t>Unknown</t>
        </is>
      </c>
      <c r="I365" t="inlineStr">
        <is>
          <t>2025-07-26</t>
        </is>
      </c>
      <c r="J365" t="inlineStr"/>
      <c r="K365" t="inlineStr"/>
    </row>
    <row r="366">
      <c r="A366" t="n">
        <v>365</v>
      </c>
      <c r="B366" t="inlineStr">
        <is>
          <t>Into Africa Racing</t>
        </is>
      </c>
      <c r="C366" t="inlineStr">
        <is>
          <t>ms Into Africa Racing</t>
        </is>
      </c>
      <c r="D366" s="206" t="n">
        <v>45730</v>
      </c>
      <c r="E366" t="inlineStr">
        <is>
          <t>Motorsport</t>
        </is>
      </c>
      <c r="F366" t="inlineStr"/>
      <c r="G366" t="inlineStr">
        <is>
          <t>Low</t>
        </is>
      </c>
      <c r="H366" t="inlineStr">
        <is>
          <t>Unknown</t>
        </is>
      </c>
      <c r="I366" t="inlineStr">
        <is>
          <t>2025-07-26</t>
        </is>
      </c>
      <c r="J366" t="inlineStr"/>
      <c r="K366" t="inlineStr"/>
    </row>
    <row r="367">
      <c r="A367" t="n">
        <v>366</v>
      </c>
      <c r="B367" t="inlineStr">
        <is>
          <t>J R T Racing</t>
        </is>
      </c>
      <c r="C367" t="inlineStr">
        <is>
          <t>ms J R T Racing</t>
        </is>
      </c>
      <c r="D367" s="206" t="n">
        <v>45379</v>
      </c>
      <c r="E367" t="inlineStr">
        <is>
          <t>Motorsport</t>
        </is>
      </c>
      <c r="F367" t="inlineStr"/>
      <c r="G367" t="inlineStr">
        <is>
          <t>Low</t>
        </is>
      </c>
      <c r="H367" t="inlineStr">
        <is>
          <t>Unknown</t>
        </is>
      </c>
      <c r="I367" t="inlineStr">
        <is>
          <t>2025-07-26</t>
        </is>
      </c>
      <c r="J367" t="inlineStr"/>
      <c r="K367" t="inlineStr"/>
    </row>
    <row r="368">
      <c r="A368" t="n">
        <v>367</v>
      </c>
      <c r="B368" t="inlineStr">
        <is>
          <t>J S Racing</t>
        </is>
      </c>
      <c r="C368" t="inlineStr">
        <is>
          <t>ms J S Racing</t>
        </is>
      </c>
      <c r="D368" s="206" t="n">
        <v>40921</v>
      </c>
      <c r="E368" t="inlineStr">
        <is>
          <t>Motorsport</t>
        </is>
      </c>
      <c r="F368" t="inlineStr"/>
      <c r="G368" t="inlineStr">
        <is>
          <t>Low</t>
        </is>
      </c>
      <c r="H368" t="inlineStr">
        <is>
          <t>Unknown</t>
        </is>
      </c>
      <c r="I368" t="inlineStr">
        <is>
          <t>2025-07-26</t>
        </is>
      </c>
      <c r="J368" t="inlineStr"/>
      <c r="K368" t="inlineStr"/>
    </row>
    <row r="369">
      <c r="A369" t="n">
        <v>368</v>
      </c>
      <c r="B369" t="inlineStr">
        <is>
          <t>SABANO PTY</t>
        </is>
      </c>
      <c r="C369" t="inlineStr">
        <is>
          <t>ms Jannie</t>
        </is>
      </c>
      <c r="D369" s="206" t="n">
        <v>45146</v>
      </c>
      <c r="E369" t="inlineStr">
        <is>
          <t>Motorsport</t>
        </is>
      </c>
      <c r="F369" t="inlineStr"/>
      <c r="G369" t="inlineStr">
        <is>
          <t>Low</t>
        </is>
      </c>
      <c r="H369" t="inlineStr">
        <is>
          <t>Unknown</t>
        </is>
      </c>
      <c r="I369" t="inlineStr">
        <is>
          <t>2025-07-26</t>
        </is>
      </c>
      <c r="J369" t="inlineStr"/>
      <c r="K369" t="inlineStr"/>
    </row>
    <row r="370">
      <c r="A370" t="n">
        <v>369</v>
      </c>
      <c r="B370" t="inlineStr">
        <is>
          <t>JEM Motorsport</t>
        </is>
      </c>
      <c r="C370" t="inlineStr">
        <is>
          <t>ms JEM Jean Els</t>
        </is>
      </c>
      <c r="D370" s="206" t="n">
        <v>41193</v>
      </c>
      <c r="E370" t="inlineStr">
        <is>
          <t>Motorsport</t>
        </is>
      </c>
      <c r="F370" t="inlineStr"/>
      <c r="G370" t="inlineStr">
        <is>
          <t>Low</t>
        </is>
      </c>
      <c r="H370" t="inlineStr">
        <is>
          <t>Unknown</t>
        </is>
      </c>
      <c r="I370" t="inlineStr">
        <is>
          <t>2025-07-26</t>
        </is>
      </c>
      <c r="J370" t="inlineStr"/>
      <c r="K370" t="inlineStr"/>
    </row>
    <row r="371">
      <c r="A371" t="n">
        <v>370</v>
      </c>
      <c r="B371" t="inlineStr">
        <is>
          <t>Johan Fourie Racing</t>
        </is>
      </c>
      <c r="C371" t="inlineStr">
        <is>
          <t>ms Johan fourie racing</t>
        </is>
      </c>
      <c r="D371" s="206" t="n">
        <v>40777</v>
      </c>
      <c r="E371" t="inlineStr">
        <is>
          <t>Motorsport</t>
        </is>
      </c>
      <c r="F371" t="inlineStr"/>
      <c r="G371" t="inlineStr">
        <is>
          <t>Low</t>
        </is>
      </c>
      <c r="H371" t="inlineStr">
        <is>
          <t>Unknown</t>
        </is>
      </c>
      <c r="I371" t="inlineStr">
        <is>
          <t>2025-07-26</t>
        </is>
      </c>
      <c r="J371" t="inlineStr"/>
      <c r="K371" t="inlineStr"/>
    </row>
    <row r="372">
      <c r="A372" t="n">
        <v>371</v>
      </c>
      <c r="B372" t="inlineStr">
        <is>
          <t>Indian Ocean Divers</t>
        </is>
      </c>
      <c r="C372" t="inlineStr">
        <is>
          <t>ms Johan v vel PORCHE</t>
        </is>
      </c>
      <c r="D372" s="206" t="n">
        <v>38095</v>
      </c>
      <c r="E372" t="inlineStr">
        <is>
          <t>Motorsport</t>
        </is>
      </c>
      <c r="F372" t="inlineStr"/>
      <c r="G372" t="inlineStr">
        <is>
          <t>Low</t>
        </is>
      </c>
      <c r="H372" t="inlineStr">
        <is>
          <t>Unknown</t>
        </is>
      </c>
      <c r="I372" t="inlineStr">
        <is>
          <t>2025-07-26</t>
        </is>
      </c>
      <c r="J372" t="inlineStr"/>
      <c r="K372" t="inlineStr"/>
    </row>
    <row r="373">
      <c r="A373" t="n">
        <v>372</v>
      </c>
      <c r="B373" t="inlineStr">
        <is>
          <t>Justin Mathie Porche</t>
        </is>
      </c>
      <c r="C373" t="inlineStr">
        <is>
          <t>ms Justin Mathie Porche</t>
        </is>
      </c>
      <c r="D373" s="206" t="n">
        <v>41317</v>
      </c>
      <c r="E373" t="inlineStr">
        <is>
          <t>Motorsport</t>
        </is>
      </c>
      <c r="F373" t="inlineStr"/>
      <c r="G373" t="inlineStr">
        <is>
          <t>Low</t>
        </is>
      </c>
      <c r="H373" t="inlineStr">
        <is>
          <t>Unknown</t>
        </is>
      </c>
      <c r="I373" t="inlineStr">
        <is>
          <t>2025-07-26</t>
        </is>
      </c>
      <c r="J373" t="inlineStr"/>
      <c r="K373" t="inlineStr"/>
    </row>
    <row r="374">
      <c r="A374" t="n">
        <v>373</v>
      </c>
      <c r="B374" t="inlineStr">
        <is>
          <t>Kimba Consulting cc</t>
        </is>
      </c>
      <c r="C374" t="inlineStr">
        <is>
          <t>ms Kimba Consulting cc</t>
        </is>
      </c>
      <c r="D374" s="206" t="n">
        <v>43070</v>
      </c>
      <c r="E374" t="inlineStr">
        <is>
          <t>Motorsport</t>
        </is>
      </c>
      <c r="F374" t="inlineStr"/>
      <c r="G374" t="inlineStr">
        <is>
          <t>Low</t>
        </is>
      </c>
      <c r="H374" t="inlineStr">
        <is>
          <t>Unknown</t>
        </is>
      </c>
      <c r="I374" t="inlineStr">
        <is>
          <t>2025-07-26</t>
        </is>
      </c>
      <c r="J374" t="inlineStr"/>
      <c r="K374" t="inlineStr"/>
    </row>
    <row r="375">
      <c r="A375" t="n">
        <v>374</v>
      </c>
      <c r="B375" t="inlineStr">
        <is>
          <t>Koos Swanepoel Developments</t>
        </is>
      </c>
      <c r="C375" t="inlineStr">
        <is>
          <t>ms Koos Swanepoel Developments</t>
        </is>
      </c>
      <c r="D375" s="206" t="n">
        <v>45706</v>
      </c>
      <c r="E375" t="inlineStr">
        <is>
          <t>Motorsport</t>
        </is>
      </c>
      <c r="F375" t="inlineStr"/>
      <c r="G375" t="inlineStr">
        <is>
          <t>Low</t>
        </is>
      </c>
      <c r="H375" t="inlineStr">
        <is>
          <t>Unknown</t>
        </is>
      </c>
      <c r="I375" t="inlineStr">
        <is>
          <t>2025-07-26</t>
        </is>
      </c>
      <c r="J375" t="inlineStr"/>
      <c r="K375" t="inlineStr"/>
    </row>
    <row r="376">
      <c r="A376" t="n">
        <v>375</v>
      </c>
      <c r="B376" t="inlineStr">
        <is>
          <t>Local Freight Services</t>
        </is>
      </c>
      <c r="C376" t="inlineStr">
        <is>
          <t>ms Local Freight Services</t>
        </is>
      </c>
      <c r="D376" s="206" t="n">
        <v>41240</v>
      </c>
      <c r="E376" t="inlineStr">
        <is>
          <t>Motorsport</t>
        </is>
      </c>
      <c r="F376" t="inlineStr"/>
      <c r="G376" t="inlineStr">
        <is>
          <t>Low</t>
        </is>
      </c>
      <c r="H376" t="inlineStr">
        <is>
          <t>Unknown</t>
        </is>
      </c>
      <c r="I376" t="inlineStr">
        <is>
          <t>2025-07-26</t>
        </is>
      </c>
      <c r="J376" t="inlineStr"/>
      <c r="K376" t="inlineStr"/>
    </row>
    <row r="377">
      <c r="A377" t="n">
        <v>376</v>
      </c>
      <c r="B377" t="inlineStr">
        <is>
          <t>LSP Leisure Industries (Pty) Ltd</t>
        </is>
      </c>
      <c r="C377" t="inlineStr">
        <is>
          <t>ms LSP Leisure Industries (Pty) Ltd</t>
        </is>
      </c>
      <c r="D377" s="206" t="n">
        <v>43376</v>
      </c>
      <c r="E377" t="inlineStr">
        <is>
          <t>Motorsport</t>
        </is>
      </c>
      <c r="F377" t="inlineStr"/>
      <c r="G377" t="inlineStr">
        <is>
          <t>Low</t>
        </is>
      </c>
      <c r="H377" t="inlineStr">
        <is>
          <t>Unknown</t>
        </is>
      </c>
      <c r="I377" t="inlineStr">
        <is>
          <t>2025-07-26</t>
        </is>
      </c>
      <c r="J377" t="inlineStr"/>
      <c r="K377" t="inlineStr"/>
    </row>
    <row r="378">
      <c r="A378" t="n">
        <v>377</v>
      </c>
      <c r="B378" t="inlineStr">
        <is>
          <t>Lube-Net (Pty) Ltd</t>
        </is>
      </c>
      <c r="C378" t="inlineStr">
        <is>
          <t>ms Lube-Net</t>
        </is>
      </c>
      <c r="D378" s="206" t="n">
        <v>45499</v>
      </c>
      <c r="E378" t="inlineStr">
        <is>
          <t>Motorsport</t>
        </is>
      </c>
      <c r="F378" t="inlineStr"/>
      <c r="G378" t="inlineStr">
        <is>
          <t>Low</t>
        </is>
      </c>
      <c r="H378" t="inlineStr">
        <is>
          <t>Unknown</t>
        </is>
      </c>
      <c r="I378" t="inlineStr">
        <is>
          <t>2025-07-26</t>
        </is>
      </c>
      <c r="J378" t="inlineStr"/>
      <c r="K378" t="inlineStr"/>
    </row>
    <row r="379">
      <c r="A379" t="n">
        <v>378</v>
      </c>
      <c r="B379" t="inlineStr">
        <is>
          <t>Macdonald Motorsport (Pty) Ltd</t>
        </is>
      </c>
      <c r="C379" t="inlineStr">
        <is>
          <t>ms Macdonald Motorsport</t>
        </is>
      </c>
      <c r="D379" s="206" t="n">
        <v>38456</v>
      </c>
      <c r="E379" t="inlineStr">
        <is>
          <t>Motorsport</t>
        </is>
      </c>
      <c r="F379" t="inlineStr"/>
      <c r="G379" t="inlineStr">
        <is>
          <t>Low</t>
        </is>
      </c>
      <c r="H379" t="inlineStr">
        <is>
          <t>Unknown</t>
        </is>
      </c>
      <c r="I379" t="inlineStr">
        <is>
          <t>2025-07-26</t>
        </is>
      </c>
      <c r="J379" t="inlineStr"/>
      <c r="K379" t="inlineStr"/>
    </row>
    <row r="380">
      <c r="A380" t="n">
        <v>379</v>
      </c>
      <c r="B380" t="inlineStr">
        <is>
          <t>Adlem Auto</t>
        </is>
      </c>
      <c r="C380" t="inlineStr">
        <is>
          <t>ms Mackie</t>
        </is>
      </c>
      <c r="D380" s="206" t="n">
        <v>44292</v>
      </c>
      <c r="E380" t="inlineStr">
        <is>
          <t>Motorsport</t>
        </is>
      </c>
      <c r="F380" t="inlineStr"/>
      <c r="G380" t="inlineStr">
        <is>
          <t>Low</t>
        </is>
      </c>
      <c r="H380" t="inlineStr">
        <is>
          <t>Unknown</t>
        </is>
      </c>
      <c r="I380" t="inlineStr">
        <is>
          <t>2025-07-26</t>
        </is>
      </c>
      <c r="J380" t="inlineStr"/>
      <c r="K380" t="inlineStr"/>
    </row>
    <row r="381">
      <c r="A381" t="n">
        <v>380</v>
      </c>
      <c r="B381" t="inlineStr">
        <is>
          <t>Malalane Toyota</t>
        </is>
      </c>
      <c r="C381" t="inlineStr">
        <is>
          <t>ms Malalane Toyota</t>
        </is>
      </c>
      <c r="D381" s="206" t="n">
        <v>41883</v>
      </c>
      <c r="E381" t="inlineStr">
        <is>
          <t>Motorsport</t>
        </is>
      </c>
      <c r="F381" t="inlineStr"/>
      <c r="G381" t="inlineStr">
        <is>
          <t>Low</t>
        </is>
      </c>
      <c r="H381" t="inlineStr">
        <is>
          <t>Unknown</t>
        </is>
      </c>
      <c r="I381" t="inlineStr">
        <is>
          <t>2025-07-26</t>
        </is>
      </c>
      <c r="J381" t="inlineStr"/>
      <c r="K381" t="inlineStr"/>
    </row>
    <row r="382">
      <c r="A382" t="n">
        <v>381</v>
      </c>
      <c r="B382" t="inlineStr">
        <is>
          <t>Manrepco</t>
        </is>
      </c>
      <c r="C382" t="inlineStr">
        <is>
          <t>ms Manrepco</t>
        </is>
      </c>
      <c r="D382" s="206" t="n">
        <v>41655</v>
      </c>
      <c r="E382" t="inlineStr">
        <is>
          <t>Motorsport</t>
        </is>
      </c>
      <c r="F382" t="inlineStr"/>
      <c r="G382" t="inlineStr">
        <is>
          <t>Low</t>
        </is>
      </c>
      <c r="H382" t="inlineStr">
        <is>
          <t>Unknown</t>
        </is>
      </c>
      <c r="I382" t="inlineStr">
        <is>
          <t>2025-07-26</t>
        </is>
      </c>
      <c r="J382" t="inlineStr"/>
      <c r="K382" t="inlineStr"/>
    </row>
    <row r="383">
      <c r="A383" t="n">
        <v>382</v>
      </c>
      <c r="B383" t="inlineStr">
        <is>
          <t>FAS (Pty)Ltd</t>
        </is>
      </c>
      <c r="C383" t="inlineStr">
        <is>
          <t>ms Mario FAS</t>
        </is>
      </c>
      <c r="D383" s="206" t="n">
        <v>45806</v>
      </c>
      <c r="E383" t="inlineStr">
        <is>
          <t>Motorsport</t>
        </is>
      </c>
      <c r="F383" t="inlineStr"/>
      <c r="G383" t="inlineStr">
        <is>
          <t>Low</t>
        </is>
      </c>
      <c r="H383" t="inlineStr">
        <is>
          <t>Unknown</t>
        </is>
      </c>
      <c r="I383" t="inlineStr">
        <is>
          <t>2025-07-26</t>
        </is>
      </c>
      <c r="J383" t="inlineStr"/>
      <c r="K383" t="inlineStr"/>
    </row>
    <row r="384">
      <c r="A384" t="n">
        <v>383</v>
      </c>
      <c r="B384" t="inlineStr">
        <is>
          <t>AUTO CURE</t>
        </is>
      </c>
      <c r="C384" t="inlineStr">
        <is>
          <t>ms Markus Porche</t>
        </is>
      </c>
      <c r="D384" s="206" t="n">
        <v>40940</v>
      </c>
      <c r="E384" t="inlineStr">
        <is>
          <t>Motorsport</t>
        </is>
      </c>
      <c r="F384" t="inlineStr"/>
      <c r="G384" t="inlineStr">
        <is>
          <t>Low</t>
        </is>
      </c>
      <c r="H384" t="inlineStr">
        <is>
          <t>Unknown</t>
        </is>
      </c>
      <c r="I384" t="inlineStr">
        <is>
          <t>2025-07-26</t>
        </is>
      </c>
      <c r="J384" t="inlineStr"/>
      <c r="K384" t="inlineStr"/>
    </row>
    <row r="385">
      <c r="A385" t="n">
        <v>384</v>
      </c>
      <c r="B385" t="inlineStr">
        <is>
          <t>Mayer Projects</t>
        </is>
      </c>
      <c r="C385" t="inlineStr">
        <is>
          <t>ms Mayer Projects</t>
        </is>
      </c>
      <c r="D385" s="206" t="n">
        <v>41892</v>
      </c>
      <c r="E385" t="inlineStr">
        <is>
          <t>Motorsport</t>
        </is>
      </c>
      <c r="F385" t="inlineStr"/>
      <c r="G385" t="inlineStr">
        <is>
          <t>Low</t>
        </is>
      </c>
      <c r="H385" t="inlineStr">
        <is>
          <t>Unknown</t>
        </is>
      </c>
      <c r="I385" t="inlineStr">
        <is>
          <t>2025-07-26</t>
        </is>
      </c>
      <c r="J385" t="inlineStr"/>
      <c r="K385" t="inlineStr"/>
    </row>
    <row r="386">
      <c r="A386" t="n">
        <v>385</v>
      </c>
      <c r="B386" t="inlineStr">
        <is>
          <t>Williams Racing</t>
        </is>
      </c>
      <c r="C386" t="inlineStr">
        <is>
          <t>ms Mercedes Williams</t>
        </is>
      </c>
      <c r="D386" s="206" t="n">
        <v>37915</v>
      </c>
      <c r="E386" t="inlineStr">
        <is>
          <t>Motorsport</t>
        </is>
      </c>
      <c r="F386" t="inlineStr"/>
      <c r="G386" t="inlineStr">
        <is>
          <t>Low</t>
        </is>
      </c>
      <c r="H386" t="inlineStr">
        <is>
          <t>Unknown</t>
        </is>
      </c>
      <c r="I386" t="inlineStr">
        <is>
          <t>2025-07-26</t>
        </is>
      </c>
      <c r="J386" t="inlineStr"/>
      <c r="K386" t="inlineStr"/>
    </row>
    <row r="387">
      <c r="A387" t="n">
        <v>386</v>
      </c>
      <c r="B387" t="inlineStr">
        <is>
          <t>Metal Used Spares</t>
        </is>
      </c>
      <c r="C387" t="inlineStr">
        <is>
          <t>ms Metal Used Spares</t>
        </is>
      </c>
      <c r="D387" s="206" t="n">
        <v>45516</v>
      </c>
      <c r="E387" t="inlineStr">
        <is>
          <t>Motorsport</t>
        </is>
      </c>
      <c r="F387" t="inlineStr"/>
      <c r="G387" t="inlineStr">
        <is>
          <t>Low</t>
        </is>
      </c>
      <c r="H387" t="inlineStr">
        <is>
          <t>Unknown</t>
        </is>
      </c>
      <c r="I387" t="inlineStr">
        <is>
          <t>2025-07-26</t>
        </is>
      </c>
      <c r="J387" t="inlineStr"/>
      <c r="K387" t="inlineStr"/>
    </row>
    <row r="388">
      <c r="A388" t="n">
        <v>387</v>
      </c>
      <c r="B388" t="inlineStr">
        <is>
          <t>Micek Road Runners</t>
        </is>
      </c>
      <c r="C388" t="inlineStr">
        <is>
          <t>ms Micek</t>
        </is>
      </c>
      <c r="D388" s="206" t="n">
        <v>37795</v>
      </c>
      <c r="E388" t="inlineStr">
        <is>
          <t>Motorsport</t>
        </is>
      </c>
      <c r="F388" t="inlineStr"/>
      <c r="G388" t="inlineStr">
        <is>
          <t>Low</t>
        </is>
      </c>
      <c r="H388" t="inlineStr">
        <is>
          <t>Unknown</t>
        </is>
      </c>
      <c r="I388" t="inlineStr">
        <is>
          <t>2025-07-26</t>
        </is>
      </c>
      <c r="J388" t="inlineStr"/>
      <c r="K388" t="inlineStr"/>
    </row>
    <row r="389">
      <c r="A389" t="n">
        <v>388</v>
      </c>
      <c r="B389" t="inlineStr">
        <is>
          <t>Raptor Engineering cc</t>
        </is>
      </c>
      <c r="C389" t="inlineStr">
        <is>
          <t>ms Misubishi Raptor Engineering</t>
        </is>
      </c>
      <c r="D389" s="206" t="n">
        <v>40200</v>
      </c>
      <c r="E389" t="inlineStr">
        <is>
          <t>Motorsport</t>
        </is>
      </c>
      <c r="F389" t="inlineStr"/>
      <c r="G389" t="inlineStr">
        <is>
          <t>Low</t>
        </is>
      </c>
      <c r="H389" t="inlineStr">
        <is>
          <t>Unknown</t>
        </is>
      </c>
      <c r="I389" t="inlineStr">
        <is>
          <t>2025-07-26</t>
        </is>
      </c>
      <c r="J389" t="inlineStr"/>
      <c r="K389" t="inlineStr"/>
    </row>
    <row r="390">
      <c r="A390" t="n">
        <v>389</v>
      </c>
      <c r="B390" t="inlineStr">
        <is>
          <t>MXM Logistics</t>
        </is>
      </c>
      <c r="C390" t="inlineStr">
        <is>
          <t>ms MXM Jannie</t>
        </is>
      </c>
      <c r="D390" s="206" t="n">
        <v>45771</v>
      </c>
      <c r="E390" t="inlineStr">
        <is>
          <t>Motorsport</t>
        </is>
      </c>
      <c r="F390" t="inlineStr"/>
      <c r="G390" t="inlineStr">
        <is>
          <t>Low</t>
        </is>
      </c>
      <c r="H390" t="inlineStr">
        <is>
          <t>Unknown</t>
        </is>
      </c>
      <c r="I390" t="inlineStr">
        <is>
          <t>2025-07-26</t>
        </is>
      </c>
      <c r="J390" t="inlineStr"/>
      <c r="K390" t="inlineStr"/>
    </row>
    <row r="391">
      <c r="A391" t="n">
        <v>390</v>
      </c>
      <c r="B391" t="inlineStr">
        <is>
          <t>Nathan's Vehicle Services</t>
        </is>
      </c>
      <c r="C391" t="inlineStr">
        <is>
          <t>ms Nathan</t>
        </is>
      </c>
      <c r="D391" s="206" t="n">
        <v>45811</v>
      </c>
      <c r="E391" t="inlineStr">
        <is>
          <t>Motorsport</t>
        </is>
      </c>
      <c r="F391" t="inlineStr"/>
      <c r="G391" t="inlineStr">
        <is>
          <t>Low</t>
        </is>
      </c>
      <c r="H391" t="inlineStr">
        <is>
          <t>Unknown</t>
        </is>
      </c>
      <c r="I391" t="inlineStr">
        <is>
          <t>2025-07-26</t>
        </is>
      </c>
      <c r="J391" t="inlineStr"/>
      <c r="K391" t="inlineStr"/>
    </row>
    <row r="392">
      <c r="A392" t="n">
        <v>391</v>
      </c>
      <c r="B392" t="inlineStr">
        <is>
          <t>MS CORP (Pty )Ltd t/a AUTONISCHE</t>
        </is>
      </c>
      <c r="C392" t="inlineStr">
        <is>
          <t>ms Nishal Autonische</t>
        </is>
      </c>
      <c r="D392" s="206" t="n">
        <v>45819</v>
      </c>
      <c r="E392" t="inlineStr">
        <is>
          <t>Motorsport</t>
        </is>
      </c>
      <c r="F392" t="inlineStr"/>
      <c r="G392" t="inlineStr">
        <is>
          <t>Low</t>
        </is>
      </c>
      <c r="H392" t="inlineStr">
        <is>
          <t>Unknown</t>
        </is>
      </c>
      <c r="I392" t="inlineStr">
        <is>
          <t>2025-07-26</t>
        </is>
      </c>
      <c r="J392" t="inlineStr"/>
      <c r="K392" t="inlineStr"/>
    </row>
    <row r="393">
      <c r="A393" t="n">
        <v>392</v>
      </c>
      <c r="B393" t="inlineStr">
        <is>
          <t>Nxgen</t>
        </is>
      </c>
      <c r="C393" t="inlineStr">
        <is>
          <t>ms Nxgen</t>
        </is>
      </c>
      <c r="D393" s="206" t="n">
        <v>43791</v>
      </c>
      <c r="E393" t="inlineStr">
        <is>
          <t>Motorsport</t>
        </is>
      </c>
      <c r="F393" t="inlineStr"/>
      <c r="G393" t="inlineStr">
        <is>
          <t>Low</t>
        </is>
      </c>
      <c r="H393" t="inlineStr">
        <is>
          <t>Unknown</t>
        </is>
      </c>
      <c r="I393" t="inlineStr">
        <is>
          <t>2025-07-26</t>
        </is>
      </c>
      <c r="J393" t="inlineStr"/>
      <c r="K393" t="inlineStr"/>
    </row>
    <row r="394">
      <c r="A394" t="n">
        <v>393</v>
      </c>
      <c r="B394" t="inlineStr">
        <is>
          <t>Nylstroom Toyota</t>
        </is>
      </c>
      <c r="C394" t="inlineStr">
        <is>
          <t>ms Nylstroom Toyota</t>
        </is>
      </c>
      <c r="D394" s="206" t="n">
        <v>37899</v>
      </c>
      <c r="E394" t="inlineStr">
        <is>
          <t>Motorsport</t>
        </is>
      </c>
      <c r="F394" t="inlineStr"/>
      <c r="G394" t="inlineStr">
        <is>
          <t>Low</t>
        </is>
      </c>
      <c r="H394" t="inlineStr">
        <is>
          <t>Unknown</t>
        </is>
      </c>
      <c r="I394" t="inlineStr">
        <is>
          <t>2025-07-26</t>
        </is>
      </c>
      <c r="J394" t="inlineStr"/>
      <c r="K394" t="inlineStr"/>
    </row>
    <row r="395">
      <c r="A395" t="n">
        <v>394</v>
      </c>
      <c r="B395" t="inlineStr">
        <is>
          <t>Omega Motor Spares</t>
        </is>
      </c>
      <c r="C395" t="inlineStr">
        <is>
          <t>ms Omega</t>
        </is>
      </c>
      <c r="D395" s="206" t="n">
        <v>40500</v>
      </c>
      <c r="E395" t="inlineStr">
        <is>
          <t>Motorsport</t>
        </is>
      </c>
      <c r="F395" t="inlineStr"/>
      <c r="G395" t="inlineStr">
        <is>
          <t>Low</t>
        </is>
      </c>
      <c r="H395" t="inlineStr">
        <is>
          <t>Unknown</t>
        </is>
      </c>
      <c r="I395" t="inlineStr">
        <is>
          <t>2025-07-26</t>
        </is>
      </c>
      <c r="J395" t="inlineStr"/>
      <c r="K395" t="inlineStr"/>
    </row>
    <row r="396">
      <c r="A396" t="n">
        <v>395</v>
      </c>
      <c r="B396" t="inlineStr">
        <is>
          <t>Pablo Clark Pty Ltd</t>
        </is>
      </c>
      <c r="C396" t="inlineStr">
        <is>
          <t>ms Pablo Clark</t>
        </is>
      </c>
      <c r="D396" s="206" t="n">
        <v>45855</v>
      </c>
      <c r="E396" t="inlineStr">
        <is>
          <t>Motorsport</t>
        </is>
      </c>
      <c r="F396" t="inlineStr"/>
      <c r="G396" t="inlineStr">
        <is>
          <t>Low</t>
        </is>
      </c>
      <c r="H396" t="inlineStr">
        <is>
          <t>Unknown</t>
        </is>
      </c>
      <c r="I396" t="inlineStr">
        <is>
          <t>2025-07-26</t>
        </is>
      </c>
      <c r="J396" t="inlineStr"/>
      <c r="K396" t="inlineStr"/>
    </row>
    <row r="397">
      <c r="A397" t="n">
        <v>396</v>
      </c>
      <c r="B397" t="inlineStr">
        <is>
          <t>Piazza Motorsport</t>
        </is>
      </c>
      <c r="C397" t="inlineStr">
        <is>
          <t>ms Piazza Motorsport</t>
        </is>
      </c>
      <c r="D397" s="206" t="n">
        <v>43523</v>
      </c>
      <c r="E397" t="inlineStr">
        <is>
          <t>Motorsport</t>
        </is>
      </c>
      <c r="F397" t="inlineStr"/>
      <c r="G397" t="inlineStr">
        <is>
          <t>Low</t>
        </is>
      </c>
      <c r="H397" t="inlineStr">
        <is>
          <t>Unknown</t>
        </is>
      </c>
      <c r="I397" t="inlineStr">
        <is>
          <t>2025-07-26</t>
        </is>
      </c>
      <c r="J397" t="inlineStr"/>
      <c r="K397" t="inlineStr"/>
    </row>
    <row r="398">
      <c r="A398" t="n">
        <v>397</v>
      </c>
      <c r="B398" t="inlineStr">
        <is>
          <t>Porche Dave Fourie</t>
        </is>
      </c>
      <c r="C398" t="inlineStr">
        <is>
          <t>ms Porche Dave Fourie</t>
        </is>
      </c>
      <c r="D398" s="206" t="n">
        <v>39994</v>
      </c>
      <c r="E398" t="inlineStr">
        <is>
          <t>Motorsport</t>
        </is>
      </c>
      <c r="F398" t="inlineStr"/>
      <c r="G398" t="inlineStr">
        <is>
          <t>Low</t>
        </is>
      </c>
      <c r="H398" t="inlineStr">
        <is>
          <t>Unknown</t>
        </is>
      </c>
      <c r="I398" t="inlineStr">
        <is>
          <t>2025-07-26</t>
        </is>
      </c>
      <c r="J398" t="inlineStr"/>
      <c r="K398" t="inlineStr"/>
    </row>
    <row r="399">
      <c r="A399" t="n">
        <v>398</v>
      </c>
      <c r="B399" t="inlineStr">
        <is>
          <t>PRD Racing</t>
        </is>
      </c>
      <c r="C399" t="inlineStr">
        <is>
          <t>ms PRD Racing Devon</t>
        </is>
      </c>
      <c r="D399" s="206" t="n">
        <v>42835</v>
      </c>
      <c r="E399" t="inlineStr">
        <is>
          <t>Motorsport</t>
        </is>
      </c>
      <c r="F399" t="inlineStr"/>
      <c r="G399" t="inlineStr">
        <is>
          <t>Low</t>
        </is>
      </c>
      <c r="H399" t="inlineStr">
        <is>
          <t>Unknown</t>
        </is>
      </c>
      <c r="I399" t="inlineStr">
        <is>
          <t>2025-07-26</t>
        </is>
      </c>
      <c r="J399" t="inlineStr"/>
      <c r="K399" t="inlineStr"/>
    </row>
    <row r="400">
      <c r="A400" t="n">
        <v>399</v>
      </c>
      <c r="B400" t="inlineStr">
        <is>
          <t>RED-LINED cc</t>
        </is>
      </c>
      <c r="C400" t="inlineStr">
        <is>
          <t>ms RED-LINED cc</t>
        </is>
      </c>
      <c r="D400" s="206" t="n">
        <v>42978</v>
      </c>
      <c r="E400" t="inlineStr">
        <is>
          <t>Motorsport</t>
        </is>
      </c>
      <c r="F400" t="inlineStr"/>
      <c r="G400" t="inlineStr">
        <is>
          <t>Low</t>
        </is>
      </c>
      <c r="H400" t="inlineStr">
        <is>
          <t>Unknown</t>
        </is>
      </c>
      <c r="I400" t="inlineStr">
        <is>
          <t>2025-07-26</t>
        </is>
      </c>
      <c r="J400" t="inlineStr"/>
      <c r="K400" t="inlineStr"/>
    </row>
    <row r="401">
      <c r="A401" t="n">
        <v>400</v>
      </c>
      <c r="B401" t="inlineStr">
        <is>
          <t>R G Motorsport</t>
        </is>
      </c>
      <c r="C401" t="inlineStr">
        <is>
          <t>ms RG Motorsport</t>
        </is>
      </c>
      <c r="D401" s="206" t="n">
        <v>40135</v>
      </c>
      <c r="E401" t="inlineStr">
        <is>
          <t>Motorsport</t>
        </is>
      </c>
      <c r="F401" t="inlineStr"/>
      <c r="G401" t="inlineStr">
        <is>
          <t>Low</t>
        </is>
      </c>
      <c r="H401" t="inlineStr">
        <is>
          <t>Unknown</t>
        </is>
      </c>
      <c r="I401" t="inlineStr">
        <is>
          <t>2025-07-26</t>
        </is>
      </c>
      <c r="J401" t="inlineStr"/>
      <c r="K401" t="inlineStr"/>
    </row>
    <row r="402">
      <c r="A402" t="n">
        <v>401</v>
      </c>
      <c r="B402" t="inlineStr">
        <is>
          <t>Roelf vd Merwe</t>
        </is>
      </c>
      <c r="C402" t="inlineStr">
        <is>
          <t>ms Roelf vd Merwe</t>
        </is>
      </c>
      <c r="D402" s="206" t="n">
        <v>42018</v>
      </c>
      <c r="E402" t="inlineStr">
        <is>
          <t>Motorsport</t>
        </is>
      </c>
      <c r="F402" t="inlineStr"/>
      <c r="G402" t="inlineStr">
        <is>
          <t>Low</t>
        </is>
      </c>
      <c r="H402" t="inlineStr">
        <is>
          <t>Unknown</t>
        </is>
      </c>
      <c r="I402" t="inlineStr">
        <is>
          <t>2025-07-26</t>
        </is>
      </c>
      <c r="J402" t="inlineStr"/>
      <c r="K402" t="inlineStr"/>
    </row>
    <row r="403">
      <c r="A403" t="n">
        <v>402</v>
      </c>
      <c r="B403" t="inlineStr">
        <is>
          <t>RSI Autobody</t>
        </is>
      </c>
      <c r="C403" t="inlineStr">
        <is>
          <t>ms RSI Autobody</t>
        </is>
      </c>
      <c r="D403" s="206" t="n">
        <v>40534</v>
      </c>
      <c r="E403" t="inlineStr">
        <is>
          <t>Motorsport</t>
        </is>
      </c>
      <c r="F403" t="inlineStr"/>
      <c r="G403" t="inlineStr">
        <is>
          <t>Low</t>
        </is>
      </c>
      <c r="H403" t="inlineStr">
        <is>
          <t>Unknown</t>
        </is>
      </c>
      <c r="I403" t="inlineStr">
        <is>
          <t>2025-07-26</t>
        </is>
      </c>
      <c r="J403" t="inlineStr"/>
      <c r="K403" t="inlineStr"/>
    </row>
    <row r="404">
      <c r="A404" t="n">
        <v>403</v>
      </c>
      <c r="B404" t="inlineStr">
        <is>
          <t>Sabertek</t>
        </is>
      </c>
      <c r="C404" t="inlineStr">
        <is>
          <t>ms Sabertek</t>
        </is>
      </c>
      <c r="D404" s="206" t="n">
        <v>43769</v>
      </c>
      <c r="E404" t="inlineStr">
        <is>
          <t>Motorsport</t>
        </is>
      </c>
      <c r="F404" t="inlineStr"/>
      <c r="G404" t="inlineStr">
        <is>
          <t>Low</t>
        </is>
      </c>
      <c r="H404" t="inlineStr">
        <is>
          <t>Unknown</t>
        </is>
      </c>
      <c r="I404" t="inlineStr">
        <is>
          <t>2025-07-26</t>
        </is>
      </c>
      <c r="J404" t="inlineStr"/>
      <c r="K404" t="inlineStr"/>
    </row>
    <row r="405">
      <c r="A405" t="n">
        <v>404</v>
      </c>
      <c r="B405" t="inlineStr">
        <is>
          <t>Samlin Investments (PTY) Ltd</t>
        </is>
      </c>
      <c r="C405" t="inlineStr">
        <is>
          <t>ms Samlin Racing</t>
        </is>
      </c>
      <c r="D405" s="206" t="n">
        <v>45615</v>
      </c>
      <c r="E405" t="inlineStr">
        <is>
          <t>Motorsport</t>
        </is>
      </c>
      <c r="F405" t="inlineStr"/>
      <c r="G405" t="inlineStr">
        <is>
          <t>Low</t>
        </is>
      </c>
      <c r="H405" t="inlineStr">
        <is>
          <t>Unknown</t>
        </is>
      </c>
      <c r="I405" t="inlineStr">
        <is>
          <t>2025-07-26</t>
        </is>
      </c>
      <c r="J405" t="inlineStr"/>
      <c r="K405" t="inlineStr"/>
    </row>
    <row r="406">
      <c r="A406" t="n">
        <v>405</v>
      </c>
      <c r="B406" t="inlineStr">
        <is>
          <t>Scribante Africa Mining (pty) Ltd</t>
        </is>
      </c>
      <c r="C406" t="inlineStr">
        <is>
          <t>ms Scribante Africa Mining</t>
        </is>
      </c>
      <c r="D406" s="206" t="n">
        <v>45769</v>
      </c>
      <c r="E406" t="inlineStr">
        <is>
          <t>Motorsport</t>
        </is>
      </c>
      <c r="F406" t="inlineStr"/>
      <c r="G406" t="inlineStr">
        <is>
          <t>Low</t>
        </is>
      </c>
      <c r="H406" t="inlineStr">
        <is>
          <t>Unknown</t>
        </is>
      </c>
      <c r="I406" t="inlineStr">
        <is>
          <t>2025-07-26</t>
        </is>
      </c>
      <c r="J406" t="inlineStr"/>
      <c r="K406" t="inlineStr"/>
    </row>
    <row r="407">
      <c r="A407" t="n">
        <v>406</v>
      </c>
      <c r="B407" t="inlineStr">
        <is>
          <t>Scribante Concrete (Pty) Ltd</t>
        </is>
      </c>
      <c r="C407" t="inlineStr">
        <is>
          <t>ms Scribante concrete</t>
        </is>
      </c>
      <c r="D407" s="206" t="n">
        <v>45320</v>
      </c>
      <c r="E407" t="inlineStr">
        <is>
          <t>Motorsport</t>
        </is>
      </c>
      <c r="F407" t="inlineStr"/>
      <c r="G407" t="inlineStr">
        <is>
          <t>Low</t>
        </is>
      </c>
      <c r="H407" t="inlineStr">
        <is>
          <t>Unknown</t>
        </is>
      </c>
      <c r="I407" t="inlineStr">
        <is>
          <t>2025-07-26</t>
        </is>
      </c>
      <c r="J407" t="inlineStr"/>
      <c r="K407" t="inlineStr"/>
    </row>
    <row r="408">
      <c r="A408" t="n">
        <v>407</v>
      </c>
      <c r="B408" t="inlineStr">
        <is>
          <t>Scribante Construction</t>
        </is>
      </c>
      <c r="C408" t="inlineStr">
        <is>
          <t>ms scribante construction</t>
        </is>
      </c>
      <c r="D408" s="206" t="n">
        <v>43614</v>
      </c>
      <c r="E408" t="inlineStr">
        <is>
          <t>Motorsport</t>
        </is>
      </c>
      <c r="F408" t="inlineStr"/>
      <c r="G408" t="inlineStr">
        <is>
          <t>Low</t>
        </is>
      </c>
      <c r="H408" t="inlineStr">
        <is>
          <t>Unknown</t>
        </is>
      </c>
      <c r="I408" t="inlineStr">
        <is>
          <t>2025-07-26</t>
        </is>
      </c>
      <c r="J408" t="inlineStr"/>
      <c r="K408" t="inlineStr"/>
    </row>
    <row r="409">
      <c r="A409" t="n">
        <v>408</v>
      </c>
      <c r="B409" t="inlineStr">
        <is>
          <t>ms SP Racing</t>
        </is>
      </c>
      <c r="C409" t="inlineStr">
        <is>
          <t>ms SP Racing</t>
        </is>
      </c>
      <c r="D409" s="206" t="n">
        <v>44510</v>
      </c>
      <c r="E409" t="inlineStr">
        <is>
          <t>Motorsport</t>
        </is>
      </c>
      <c r="F409" t="inlineStr"/>
      <c r="G409" t="inlineStr">
        <is>
          <t>Low</t>
        </is>
      </c>
      <c r="H409" t="inlineStr">
        <is>
          <t>Unknown</t>
        </is>
      </c>
      <c r="I409" t="inlineStr">
        <is>
          <t>2025-07-26</t>
        </is>
      </c>
      <c r="J409" t="inlineStr"/>
      <c r="K409" t="inlineStr"/>
    </row>
    <row r="410">
      <c r="A410" t="n">
        <v>409</v>
      </c>
      <c r="B410" t="inlineStr">
        <is>
          <t>Sportech</t>
        </is>
      </c>
      <c r="C410" t="inlineStr">
        <is>
          <t>ms Sportech</t>
        </is>
      </c>
      <c r="D410" s="206" t="n">
        <v>41814</v>
      </c>
      <c r="E410" t="inlineStr">
        <is>
          <t>Motorsport</t>
        </is>
      </c>
      <c r="F410" t="inlineStr"/>
      <c r="G410" t="inlineStr">
        <is>
          <t>Low</t>
        </is>
      </c>
      <c r="H410" t="inlineStr">
        <is>
          <t>Unknown</t>
        </is>
      </c>
      <c r="I410" t="inlineStr">
        <is>
          <t>2025-07-26</t>
        </is>
      </c>
      <c r="J410" t="inlineStr"/>
      <c r="K410" t="inlineStr"/>
    </row>
    <row r="411">
      <c r="A411" t="n">
        <v>410</v>
      </c>
      <c r="B411" t="inlineStr">
        <is>
          <t>Stradale Motorsport</t>
        </is>
      </c>
      <c r="C411" t="inlineStr">
        <is>
          <t>ms Stradale Motorsport</t>
        </is>
      </c>
      <c r="D411" s="206" t="n">
        <v>45855</v>
      </c>
      <c r="E411" t="inlineStr">
        <is>
          <t>Motorsport</t>
        </is>
      </c>
      <c r="F411" t="inlineStr"/>
      <c r="G411" t="inlineStr">
        <is>
          <t>Low</t>
        </is>
      </c>
      <c r="H411" t="inlineStr">
        <is>
          <t>Unknown</t>
        </is>
      </c>
      <c r="I411" t="inlineStr">
        <is>
          <t>2025-07-26</t>
        </is>
      </c>
      <c r="J411" t="inlineStr"/>
      <c r="K411" t="inlineStr"/>
    </row>
    <row r="412">
      <c r="A412" t="n">
        <v>411</v>
      </c>
      <c r="B412" t="inlineStr">
        <is>
          <t>T en N Vervaardiging CC</t>
        </is>
      </c>
      <c r="C412" t="inlineStr">
        <is>
          <t>ms T en N Vervaardiging CC</t>
        </is>
      </c>
      <c r="D412" s="206" t="n">
        <v>45672</v>
      </c>
      <c r="E412" t="inlineStr">
        <is>
          <t>Motorsport</t>
        </is>
      </c>
      <c r="F412" t="inlineStr"/>
      <c r="G412" t="inlineStr">
        <is>
          <t>Low</t>
        </is>
      </c>
      <c r="H412" t="inlineStr">
        <is>
          <t>Unknown</t>
        </is>
      </c>
      <c r="I412" t="inlineStr">
        <is>
          <t>2025-07-26</t>
        </is>
      </c>
      <c r="J412" t="inlineStr"/>
      <c r="K412" t="inlineStr"/>
    </row>
    <row r="413">
      <c r="A413" t="n">
        <v>412</v>
      </c>
      <c r="B413" t="inlineStr">
        <is>
          <t>Terry Moss Racing</t>
        </is>
      </c>
      <c r="C413" t="inlineStr">
        <is>
          <t>ms TB Racing</t>
        </is>
      </c>
      <c r="D413" s="206" t="n">
        <v>44809</v>
      </c>
      <c r="E413" t="inlineStr">
        <is>
          <t>Motorsport</t>
        </is>
      </c>
      <c r="F413" t="inlineStr"/>
      <c r="G413" t="inlineStr">
        <is>
          <t>Low</t>
        </is>
      </c>
      <c r="H413" t="inlineStr">
        <is>
          <t>Unknown</t>
        </is>
      </c>
      <c r="I413" t="inlineStr">
        <is>
          <t>2025-07-26</t>
        </is>
      </c>
      <c r="J413" t="inlineStr"/>
      <c r="K413" t="inlineStr"/>
    </row>
    <row r="414">
      <c r="A414" t="n">
        <v>413</v>
      </c>
      <c r="B414" t="inlineStr">
        <is>
          <t>Tunetech</t>
        </is>
      </c>
      <c r="C414" t="inlineStr">
        <is>
          <t>ms Tunetech</t>
        </is>
      </c>
      <c r="D414" s="206" t="n">
        <v>40366</v>
      </c>
      <c r="E414" t="inlineStr">
        <is>
          <t>Motorsport</t>
        </is>
      </c>
      <c r="F414" t="inlineStr"/>
      <c r="G414" t="inlineStr">
        <is>
          <t>Low</t>
        </is>
      </c>
      <c r="H414" t="inlineStr">
        <is>
          <t>Unknown</t>
        </is>
      </c>
      <c r="I414" t="inlineStr">
        <is>
          <t>2025-07-26</t>
        </is>
      </c>
      <c r="J414" t="inlineStr"/>
      <c r="K414" t="inlineStr"/>
    </row>
    <row r="415">
      <c r="A415" t="n">
        <v>414</v>
      </c>
      <c r="B415" t="inlineStr">
        <is>
          <t>Ultragroup</t>
        </is>
      </c>
      <c r="C415" t="inlineStr">
        <is>
          <t>ms ultragroup sasol vw polo</t>
        </is>
      </c>
      <c r="D415" s="206" t="n">
        <v>45036</v>
      </c>
      <c r="E415" t="inlineStr">
        <is>
          <t>Motorsport</t>
        </is>
      </c>
      <c r="F415" t="inlineStr"/>
      <c r="G415" t="inlineStr">
        <is>
          <t>Low</t>
        </is>
      </c>
      <c r="H415" t="inlineStr">
        <is>
          <t>Unknown</t>
        </is>
      </c>
      <c r="I415" t="inlineStr">
        <is>
          <t>2025-07-26</t>
        </is>
      </c>
      <c r="J415" t="inlineStr"/>
      <c r="K415" t="inlineStr"/>
    </row>
    <row r="416">
      <c r="A416" t="n">
        <v>415</v>
      </c>
      <c r="B416" t="inlineStr">
        <is>
          <t>Universal Motorsport (Pty) Ltd</t>
        </is>
      </c>
      <c r="C416" t="inlineStr">
        <is>
          <t>ms Universal Motorsport</t>
        </is>
      </c>
      <c r="D416" s="206" t="n">
        <v>45701</v>
      </c>
      <c r="E416" t="inlineStr">
        <is>
          <t>Motorsport</t>
        </is>
      </c>
      <c r="F416" t="inlineStr"/>
      <c r="G416" t="inlineStr">
        <is>
          <t>Low</t>
        </is>
      </c>
      <c r="H416" t="inlineStr">
        <is>
          <t>Unknown</t>
        </is>
      </c>
      <c r="I416" t="inlineStr">
        <is>
          <t>2025-07-26</t>
        </is>
      </c>
      <c r="J416" t="inlineStr"/>
      <c r="K416" t="inlineStr"/>
    </row>
    <row r="417">
      <c r="A417" t="n">
        <v>416</v>
      </c>
      <c r="B417" t="inlineStr">
        <is>
          <t>Universal Products</t>
        </is>
      </c>
      <c r="C417" t="inlineStr">
        <is>
          <t>ms Universal Products Garth Waberski</t>
        </is>
      </c>
      <c r="D417" s="206" t="n">
        <v>41241</v>
      </c>
      <c r="E417" t="inlineStr">
        <is>
          <t>Motorsport</t>
        </is>
      </c>
      <c r="F417" t="inlineStr"/>
      <c r="G417" t="inlineStr">
        <is>
          <t>Low</t>
        </is>
      </c>
      <c r="H417" t="inlineStr">
        <is>
          <t>Unknown</t>
        </is>
      </c>
      <c r="I417" t="inlineStr">
        <is>
          <t>2025-07-26</t>
        </is>
      </c>
      <c r="J417" t="inlineStr"/>
      <c r="K417" t="inlineStr"/>
    </row>
    <row r="418">
      <c r="A418" t="n">
        <v>417</v>
      </c>
      <c r="B418" t="inlineStr">
        <is>
          <t>Stradale Motorsport</t>
        </is>
      </c>
      <c r="C418" t="inlineStr">
        <is>
          <t>ms Vaal Fuid Systems</t>
        </is>
      </c>
      <c r="D418" s="206" t="n">
        <v>42775</v>
      </c>
      <c r="E418" t="inlineStr">
        <is>
          <t>Motorsport</t>
        </is>
      </c>
      <c r="F418" t="inlineStr"/>
      <c r="G418" t="inlineStr">
        <is>
          <t>Low</t>
        </is>
      </c>
      <c r="H418" t="inlineStr">
        <is>
          <t>Unknown</t>
        </is>
      </c>
      <c r="I418" t="inlineStr">
        <is>
          <t>2025-07-26</t>
        </is>
      </c>
      <c r="J418" t="inlineStr"/>
      <c r="K418" t="inlineStr"/>
    </row>
    <row r="419">
      <c r="A419" t="n">
        <v>418</v>
      </c>
      <c r="B419" t="inlineStr">
        <is>
          <t xml:space="preserve">V M P Motorsport </t>
        </is>
      </c>
      <c r="C419" t="inlineStr">
        <is>
          <t>ms Vic Maharaj</t>
        </is>
      </c>
      <c r="D419" s="206" t="n">
        <v>43200</v>
      </c>
      <c r="E419" t="inlineStr">
        <is>
          <t>Motorsport</t>
        </is>
      </c>
      <c r="F419" t="inlineStr"/>
      <c r="G419" t="inlineStr">
        <is>
          <t>Imminent</t>
        </is>
      </c>
      <c r="H419" t="inlineStr">
        <is>
          <t>NTC</t>
        </is>
      </c>
      <c r="I419" t="inlineStr">
        <is>
          <t>2025-07-26</t>
        </is>
      </c>
      <c r="J419" t="inlineStr"/>
      <c r="K419" t="inlineStr"/>
    </row>
    <row r="420">
      <c r="A420" t="n">
        <v>419</v>
      </c>
      <c r="B420" t="inlineStr">
        <is>
          <t>Engen Prinshof Motors</t>
        </is>
      </c>
      <c r="C420" t="inlineStr">
        <is>
          <t>ms Wayne Crous Engen Prinshof Motors</t>
        </is>
      </c>
      <c r="D420" s="206" t="n">
        <v>43588</v>
      </c>
      <c r="E420" t="inlineStr">
        <is>
          <t>Motorsport</t>
        </is>
      </c>
      <c r="F420" t="inlineStr"/>
      <c r="G420" t="inlineStr">
        <is>
          <t>Low</t>
        </is>
      </c>
      <c r="H420" t="inlineStr">
        <is>
          <t>Unknown</t>
        </is>
      </c>
      <c r="I420" t="inlineStr">
        <is>
          <t>2025-07-26</t>
        </is>
      </c>
      <c r="J420" t="inlineStr"/>
      <c r="K420" t="inlineStr"/>
    </row>
    <row r="421">
      <c r="A421" t="n">
        <v>420</v>
      </c>
      <c r="B421" t="inlineStr">
        <is>
          <t>Advance Wealth Management</t>
        </is>
      </c>
      <c r="C421" t="inlineStr">
        <is>
          <t>ms Wayne porche</t>
        </is>
      </c>
      <c r="D421" s="206" t="n">
        <v>38371</v>
      </c>
      <c r="E421" t="inlineStr">
        <is>
          <t>Motorsport</t>
        </is>
      </c>
      <c r="F421" t="inlineStr"/>
      <c r="G421" t="inlineStr">
        <is>
          <t>Low</t>
        </is>
      </c>
      <c r="H421" t="inlineStr">
        <is>
          <t>Unknown</t>
        </is>
      </c>
      <c r="I421" t="inlineStr">
        <is>
          <t>2025-07-26</t>
        </is>
      </c>
      <c r="J421" t="inlineStr"/>
      <c r="K421" t="inlineStr"/>
    </row>
    <row r="422">
      <c r="A422" t="n">
        <v>421</v>
      </c>
      <c r="B422" t="inlineStr">
        <is>
          <t>WCT Engineering</t>
        </is>
      </c>
      <c r="C422" t="inlineStr">
        <is>
          <t>ms WCT Engineering</t>
        </is>
      </c>
      <c r="D422" s="206" t="n">
        <v>45812</v>
      </c>
      <c r="E422" t="inlineStr">
        <is>
          <t>Motorsport</t>
        </is>
      </c>
      <c r="F422" t="inlineStr"/>
      <c r="G422" t="inlineStr">
        <is>
          <t>Low</t>
        </is>
      </c>
      <c r="H422" t="inlineStr">
        <is>
          <t>Unknown</t>
        </is>
      </c>
      <c r="I422" t="inlineStr">
        <is>
          <t>2025-07-26</t>
        </is>
      </c>
      <c r="J422" t="inlineStr"/>
      <c r="K422" t="inlineStr"/>
    </row>
    <row r="423">
      <c r="A423" t="n">
        <v>422</v>
      </c>
      <c r="B423" t="inlineStr">
        <is>
          <t>Willie van Straten</t>
        </is>
      </c>
      <c r="C423" t="inlineStr">
        <is>
          <t>ms willie van straten</t>
        </is>
      </c>
      <c r="D423" s="206" t="n">
        <v>41451</v>
      </c>
      <c r="E423" t="inlineStr">
        <is>
          <t>Motorsport</t>
        </is>
      </c>
      <c r="F423" t="inlineStr"/>
      <c r="G423" t="inlineStr">
        <is>
          <t>Low</t>
        </is>
      </c>
      <c r="H423" t="inlineStr">
        <is>
          <t>Unknown</t>
        </is>
      </c>
      <c r="I423" t="inlineStr">
        <is>
          <t>2025-07-26</t>
        </is>
      </c>
      <c r="J423" t="inlineStr"/>
      <c r="K423" t="inlineStr"/>
    </row>
    <row r="424">
      <c r="A424" t="n">
        <v>423</v>
      </c>
      <c r="B424" t="inlineStr">
        <is>
          <t>Worx autohaus (Pty) Ltd</t>
        </is>
      </c>
      <c r="C424" t="inlineStr">
        <is>
          <t>ms Worx autohaus</t>
        </is>
      </c>
      <c r="D424" s="206" t="n">
        <v>45386</v>
      </c>
      <c r="E424" t="inlineStr">
        <is>
          <t>Motorsport</t>
        </is>
      </c>
      <c r="F424" t="inlineStr"/>
      <c r="G424" t="inlineStr">
        <is>
          <t>Low</t>
        </is>
      </c>
      <c r="H424" t="inlineStr">
        <is>
          <t>Unknown</t>
        </is>
      </c>
      <c r="I424" t="inlineStr">
        <is>
          <t>2025-07-26</t>
        </is>
      </c>
      <c r="J424" t="inlineStr"/>
      <c r="K424" t="inlineStr"/>
    </row>
    <row r="425">
      <c r="A425" t="n">
        <v>424</v>
      </c>
      <c r="B425" t="inlineStr">
        <is>
          <t>Zeelie Auditors</t>
        </is>
      </c>
      <c r="C425" t="inlineStr">
        <is>
          <t>ms Zeelie Auditors</t>
        </is>
      </c>
      <c r="D425" s="206" t="n">
        <v>45525</v>
      </c>
      <c r="E425" t="inlineStr">
        <is>
          <t>Motorsport</t>
        </is>
      </c>
      <c r="F425" t="inlineStr"/>
      <c r="G425" t="inlineStr">
        <is>
          <t>Low</t>
        </is>
      </c>
      <c r="H425" t="inlineStr">
        <is>
          <t>Unknown</t>
        </is>
      </c>
      <c r="I425" t="inlineStr">
        <is>
          <t>2025-07-26</t>
        </is>
      </c>
      <c r="J425" t="inlineStr"/>
      <c r="K425" t="inlineStr"/>
    </row>
    <row r="426">
      <c r="A426" t="n">
        <v>425</v>
      </c>
      <c r="B426" t="inlineStr">
        <is>
          <t>Zovibrite</t>
        </is>
      </c>
      <c r="C426" t="inlineStr">
        <is>
          <t>ms Zovibrite</t>
        </is>
      </c>
      <c r="D426" s="206" t="n">
        <v>44883</v>
      </c>
      <c r="E426" t="inlineStr">
        <is>
          <t>Motorsport</t>
        </is>
      </c>
      <c r="F426" t="inlineStr"/>
      <c r="G426" t="inlineStr">
        <is>
          <t>Low</t>
        </is>
      </c>
      <c r="H426" t="inlineStr">
        <is>
          <t>Unknown</t>
        </is>
      </c>
      <c r="I426" t="inlineStr">
        <is>
          <t>2025-07-26</t>
        </is>
      </c>
      <c r="J426" t="inlineStr"/>
      <c r="K42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8220"/>
  <sheetViews>
    <sheetView workbookViewId="0">
      <selection activeCell="A13" sqref="A13:D15"/>
    </sheetView>
    <sheetView workbookViewId="1">
      <selection activeCell="A1" sqref="A1"/>
    </sheetView>
  </sheetViews>
  <sheetFormatPr baseColWidth="8" defaultColWidth="8.796875" defaultRowHeight="13.8"/>
  <cols>
    <col width="36.69921875" bestFit="1" customWidth="1" style="75" min="1" max="1"/>
    <col width="10.796875" bestFit="1" customWidth="1" style="74" min="2" max="2"/>
    <col width="9.69921875" bestFit="1" customWidth="1" style="87" min="3" max="3"/>
    <col width="25.296875" customWidth="1" style="7" min="4" max="4"/>
  </cols>
  <sheetData>
    <row r="1">
      <c r="A1" s="79" t="inlineStr">
        <is>
          <t>Company_QuickBooks+</t>
        </is>
      </c>
      <c r="B1" s="80" t="inlineStr">
        <is>
          <t>Order_Dates</t>
        </is>
      </c>
      <c r="C1" s="89" t="inlineStr">
        <is>
          <t>Once-Off</t>
        </is>
      </c>
      <c r="D1" s="6" t="inlineStr">
        <is>
          <t>Captured</t>
        </is>
      </c>
    </row>
    <row r="2">
      <c r="A2" s="81" t="inlineStr">
        <is>
          <t>Acher Aviation Helicopters</t>
        </is>
      </c>
      <c r="B2" s="80" t="n">
        <v>45859</v>
      </c>
      <c r="C2" s="80" t="n"/>
      <c r="D2" s="6">
        <f>IFERROR(VLOOKUP($A2,Company_Cat!$C$2:$C$623,1,FALSE),"")</f>
        <v/>
      </c>
    </row>
    <row r="3">
      <c r="A3" s="82" t="inlineStr">
        <is>
          <t>ms FAST DEVELOPMENT CC</t>
        </is>
      </c>
      <c r="B3" s="80" t="n">
        <v>45855</v>
      </c>
      <c r="C3" s="80" t="n"/>
      <c r="D3" s="6">
        <f>IFERROR(VLOOKUP($A3,Company_Cat!$C$2:$C$623,1,FALSE),"")</f>
        <v/>
      </c>
    </row>
    <row r="4">
      <c r="A4" s="81" t="inlineStr">
        <is>
          <t>ms Pablo Clark</t>
        </is>
      </c>
      <c r="B4" s="80" t="n">
        <v>45855</v>
      </c>
      <c r="C4" s="80" t="n"/>
      <c r="D4" s="6">
        <f>IFERROR(VLOOKUP($A4,Company_Cat!$C$2:$C$623,1,FALSE),"")</f>
        <v/>
      </c>
    </row>
    <row r="5">
      <c r="A5" s="81" t="inlineStr">
        <is>
          <t>ms Stradale Motorsport</t>
        </is>
      </c>
      <c r="B5" s="80" t="n">
        <v>45855</v>
      </c>
      <c r="C5" s="80" t="n"/>
      <c r="D5" s="6">
        <f>IFERROR(VLOOKUP($A5,Company_Cat!$C$2:$C$623,1,FALSE),"")</f>
        <v/>
      </c>
    </row>
    <row r="6">
      <c r="A6" s="81" t="inlineStr">
        <is>
          <t>Skytrim rico</t>
        </is>
      </c>
      <c r="B6" s="80" t="n">
        <v>45855</v>
      </c>
      <c r="C6" s="80" t="n"/>
      <c r="D6" s="6">
        <f>IFERROR(VLOOKUP($A6,Company_Cat!$C$2:$C$623,1,FALSE),"")</f>
        <v/>
      </c>
    </row>
    <row r="7">
      <c r="A7" s="81" t="inlineStr">
        <is>
          <t>capital air</t>
        </is>
      </c>
      <c r="B7" s="80" t="n">
        <v>45853</v>
      </c>
      <c r="C7" s="80" t="n"/>
      <c r="D7" s="6">
        <f>IFERROR(VLOOKUP($A7,Company_Cat!$C$2:$C$623,1,FALSE),"")</f>
        <v/>
      </c>
    </row>
    <row r="8">
      <c r="A8" s="81" t="inlineStr">
        <is>
          <t>Sky Hunter South Africa</t>
        </is>
      </c>
      <c r="B8" s="80" t="n">
        <v>45848</v>
      </c>
      <c r="C8" s="85" t="n"/>
      <c r="D8" s="6">
        <f>IFERROR(VLOOKUP($A8,Company_Cat!$C$2:$C$623,1,FALSE),"")</f>
        <v/>
      </c>
    </row>
    <row r="9">
      <c r="A9" s="79" t="inlineStr">
        <is>
          <t>Alton Aero Eng</t>
        </is>
      </c>
      <c r="B9" s="80" t="n">
        <v>45840</v>
      </c>
      <c r="C9" s="80" t="n"/>
      <c r="D9" s="6">
        <f>IFERROR(VLOOKUP($A9,Company_Cat!$C$2:$C$623,1,FALSE),"")</f>
        <v/>
      </c>
    </row>
    <row r="10">
      <c r="A10" s="81" t="inlineStr">
        <is>
          <t>TAM</t>
        </is>
      </c>
      <c r="B10" s="80" t="n">
        <v>45838</v>
      </c>
      <c r="C10" s="80" t="n"/>
      <c r="D10" s="6">
        <f>IFERROR(VLOOKUP($A10,Company_Cat!$C$2:$C$623,1,FALSE),"")</f>
        <v/>
      </c>
    </row>
    <row r="11">
      <c r="A11" s="79" t="inlineStr">
        <is>
          <t>Aviation Rebuilders</t>
        </is>
      </c>
      <c r="B11" s="80" t="n">
        <v>45827</v>
      </c>
      <c r="C11" s="85" t="n"/>
      <c r="D11" s="6">
        <f>IFERROR(VLOOKUP($A11,Company_Cat!$C$2:$C$623,1,FALSE),"")</f>
        <v/>
      </c>
    </row>
    <row r="12">
      <c r="A12" s="81" t="inlineStr">
        <is>
          <t>Heli-Fix cc</t>
        </is>
      </c>
      <c r="B12" s="80" t="n">
        <v>45826</v>
      </c>
      <c r="C12" s="80" t="n"/>
      <c r="D12" s="6">
        <f>IFERROR(VLOOKUP($A12,Company_Cat!$C$2:$C$623,1,FALSE),"")</f>
        <v/>
      </c>
    </row>
    <row r="13">
      <c r="A13" s="81" t="inlineStr">
        <is>
          <t>ms Nishal Autonische</t>
        </is>
      </c>
      <c r="B13" s="80" t="n">
        <v>45819</v>
      </c>
      <c r="C13" s="80" t="n"/>
      <c r="D13" s="6">
        <f>IFERROR(VLOOKUP($A13,Company_Cat!$C$2:$C$623,1,FALSE),"")</f>
        <v/>
      </c>
    </row>
    <row r="14">
      <c r="A14" s="81" t="inlineStr">
        <is>
          <t>ms WCT Engineering</t>
        </is>
      </c>
      <c r="B14" s="80" t="n">
        <v>45812</v>
      </c>
      <c r="C14" s="80" t="n"/>
      <c r="D14" s="6">
        <f>IFERROR(VLOOKUP($A14,Company_Cat!$C$2:$C$623,1,FALSE),"")</f>
        <v/>
      </c>
    </row>
    <row r="15">
      <c r="A15" s="79" t="inlineStr">
        <is>
          <t>ms Nathan</t>
        </is>
      </c>
      <c r="B15" s="80" t="n">
        <v>45811</v>
      </c>
      <c r="C15" s="80" t="n"/>
      <c r="D15" s="6">
        <f>IFERROR(VLOOKUP($A15,Company_Cat!$C$2:$C$623,1,FALSE),"")</f>
        <v/>
      </c>
    </row>
    <row r="16">
      <c r="A16" s="81" t="inlineStr">
        <is>
          <t>208 Aviation CC</t>
        </is>
      </c>
      <c r="B16" s="80" t="n">
        <v>45810</v>
      </c>
      <c r="C16" s="80" t="n"/>
      <c r="D16" s="6">
        <f>IFERROR(VLOOKUP($A16,Company_Cat!$C$2:$C$623,1,FALSE),"")</f>
        <v/>
      </c>
    </row>
    <row r="17">
      <c r="A17" s="82" t="inlineStr">
        <is>
          <t>Trio Jack Taylor</t>
        </is>
      </c>
      <c r="B17" s="83" t="n">
        <v>45810</v>
      </c>
      <c r="C17" s="86" t="n"/>
      <c r="D17" s="6">
        <f>IFERROR(VLOOKUP($A17,Company_Cat!$C$2:$C$623,1,FALSE),"")</f>
        <v/>
      </c>
    </row>
    <row r="18">
      <c r="A18" s="79" t="inlineStr">
        <is>
          <t>ms Mario FAS</t>
        </is>
      </c>
      <c r="B18" s="80" t="n">
        <v>45806</v>
      </c>
      <c r="C18" s="80" t="n"/>
      <c r="D18" s="6">
        <f>IFERROR(VLOOKUP($A18,Company_Cat!$C$2:$C$623,1,FALSE),"")</f>
        <v/>
      </c>
    </row>
    <row r="19">
      <c r="A19" s="79" t="inlineStr">
        <is>
          <t>Skyworx Aviation cc</t>
        </is>
      </c>
      <c r="B19" s="80" t="n">
        <v>45805</v>
      </c>
      <c r="C19" s="85" t="n"/>
      <c r="D19" s="6">
        <f>IFERROR(VLOOKUP($A19,Company_Cat!$C$2:$C$623,1,FALSE),"")</f>
        <v/>
      </c>
    </row>
    <row r="20">
      <c r="A20" s="81" t="inlineStr">
        <is>
          <t>ms ID Paving and Contractors (Pty) Ltd</t>
        </is>
      </c>
      <c r="B20" s="80" t="n">
        <v>45799</v>
      </c>
      <c r="C20" s="80" t="n"/>
      <c r="D20" s="6">
        <f>IFERROR(VLOOKUP($A20,Company_Cat!$C$2:$C$623,1,FALSE),"")</f>
        <v/>
      </c>
    </row>
    <row r="21">
      <c r="A21" s="79" t="inlineStr">
        <is>
          <t>Xcalibur Aircraft Corporation (Pty) Ltd</t>
        </is>
      </c>
      <c r="B21" s="80" t="n">
        <v>45796</v>
      </c>
      <c r="C21" s="80" t="n"/>
      <c r="D21" s="6">
        <f>IFERROR(VLOOKUP($A21,Company_Cat!$C$2:$C$623,1,FALSE),"")</f>
        <v/>
      </c>
    </row>
    <row r="22">
      <c r="A22" s="81" t="inlineStr">
        <is>
          <t>Peak Aviation</t>
        </is>
      </c>
      <c r="B22" s="80" t="n">
        <v>45792</v>
      </c>
      <c r="C22" s="80" t="n"/>
      <c r="D22" s="6">
        <f>IFERROR(VLOOKUP($A22,Company_Cat!$C$2:$C$623,1,FALSE),"")</f>
        <v/>
      </c>
    </row>
    <row r="23">
      <c r="A23" s="81" t="inlineStr">
        <is>
          <t>Taskair Aviation (Pty) Ltd</t>
        </is>
      </c>
      <c r="B23" s="80" t="n">
        <v>45790</v>
      </c>
      <c r="C23" s="85" t="n"/>
      <c r="D23" s="6">
        <f>IFERROR(VLOOKUP($A23,Company_Cat!$C$2:$C$623,1,FALSE),"")</f>
        <v/>
      </c>
    </row>
    <row r="24">
      <c r="A24" s="81" t="inlineStr">
        <is>
          <t>ms MXM Jannie</t>
        </is>
      </c>
      <c r="B24" s="80" t="n">
        <v>45771</v>
      </c>
      <c r="C24" s="80" t="n"/>
      <c r="D24" s="6">
        <f>IFERROR(VLOOKUP($A24,Company_Cat!$C$2:$C$623,1,FALSE),"")</f>
        <v/>
      </c>
    </row>
    <row r="25">
      <c r="A25" s="81" t="inlineStr">
        <is>
          <t>cash</t>
        </is>
      </c>
      <c r="B25" s="80" t="n">
        <v>45769</v>
      </c>
      <c r="C25" s="85" t="n"/>
      <c r="D25" s="6">
        <f>IFERROR(VLOOKUP($A25,Company_Cat!$C$2:$C$623,1,FALSE),"")</f>
        <v/>
      </c>
    </row>
    <row r="26">
      <c r="A26" s="79" t="inlineStr">
        <is>
          <t>ms Scribante Africa Mining</t>
        </is>
      </c>
      <c r="B26" s="80" t="n">
        <v>45769</v>
      </c>
      <c r="C26" s="80" t="n"/>
      <c r="D26" s="6">
        <f>IFERROR(VLOOKUP($A26,Company_Cat!$C$2:$C$623,1,FALSE),"")</f>
        <v/>
      </c>
    </row>
    <row r="27">
      <c r="A27" s="81" t="inlineStr">
        <is>
          <t>Southern Mapping</t>
        </is>
      </c>
      <c r="B27" s="80" t="n">
        <v>45764</v>
      </c>
      <c r="C27" s="85" t="n"/>
      <c r="D27" s="6">
        <f>IFERROR(VLOOKUP($A27,Company_Cat!$C$2:$C$623,1,FALSE),"")</f>
        <v/>
      </c>
    </row>
    <row r="28">
      <c r="A28" s="81" t="inlineStr">
        <is>
          <t>BELAIRE AVIATION.</t>
        </is>
      </c>
      <c r="B28" s="80" t="n">
        <v>45751</v>
      </c>
      <c r="C28" s="85" t="n"/>
      <c r="D28" s="6">
        <f>IFERROR(VLOOKUP($A28,Company_Cat!$C$2:$C$623,1,FALSE),"")</f>
        <v/>
      </c>
    </row>
    <row r="29">
      <c r="A29" s="81" t="inlineStr">
        <is>
          <t>Leading Edge M jackson</t>
        </is>
      </c>
      <c r="B29" s="80" t="n">
        <v>45750</v>
      </c>
      <c r="C29" s="80" t="n"/>
      <c r="D29" s="6">
        <f>IFERROR(VLOOKUP($A29,Company_Cat!$C$2:$C$623,1,FALSE),"")</f>
        <v/>
      </c>
    </row>
    <row r="30">
      <c r="A30" s="81" t="inlineStr">
        <is>
          <t>Gryphen Aerospace</t>
        </is>
      </c>
      <c r="B30" s="80" t="n">
        <v>45742</v>
      </c>
      <c r="C30" s="85" t="n"/>
      <c r="D30" s="6">
        <f>IFERROR(VLOOKUP($A30,Company_Cat!$C$2:$C$623,1,FALSE),"")</f>
        <v/>
      </c>
    </row>
    <row r="31">
      <c r="A31" s="81" t="inlineStr">
        <is>
          <t>Lanseria Flight Centre</t>
        </is>
      </c>
      <c r="B31" s="80" t="n">
        <v>45740</v>
      </c>
      <c r="C31" s="85" t="n"/>
      <c r="D31" s="6">
        <f>IFERROR(VLOOKUP($A31,Company_Cat!$C$2:$C$623,1,FALSE),"")</f>
        <v/>
      </c>
    </row>
    <row r="32">
      <c r="A32" s="81" t="inlineStr">
        <is>
          <t>Emperor Aviation</t>
        </is>
      </c>
      <c r="B32" s="80" t="n">
        <v>45737</v>
      </c>
      <c r="C32" s="80" t="n"/>
      <c r="D32" s="6">
        <f>IFERROR(VLOOKUP($A32,Company_Cat!$C$2:$C$623,1,FALSE),"")</f>
        <v/>
      </c>
    </row>
    <row r="33">
      <c r="A33" s="81" t="inlineStr">
        <is>
          <t>ms BMW Freddie</t>
        </is>
      </c>
      <c r="B33" s="80" t="n">
        <v>45732</v>
      </c>
      <c r="C33" s="85" t="n"/>
      <c r="D33" s="6">
        <f>IFERROR(VLOOKUP($A33,Company_Cat!$C$2:$C$623,1,FALSE),"")</f>
        <v/>
      </c>
    </row>
    <row r="34">
      <c r="A34" s="81" t="inlineStr">
        <is>
          <t>ms Into Africa Racing</t>
        </is>
      </c>
      <c r="B34" s="80" t="n">
        <v>45730</v>
      </c>
      <c r="C34" s="80" t="n"/>
      <c r="D34" s="6">
        <f>IFERROR(VLOOKUP($A34,Company_Cat!$C$2:$C$623,1,FALSE),"")</f>
        <v/>
      </c>
    </row>
    <row r="35">
      <c r="A35" s="81" t="inlineStr">
        <is>
          <t>ALR FLIGHT INVESTMENT</t>
        </is>
      </c>
      <c r="B35" s="80" t="n">
        <v>45728</v>
      </c>
      <c r="C35" s="80" t="n"/>
      <c r="D35" s="6">
        <f>IFERROR(VLOOKUP($A35,Company_Cat!$C$2:$C$623,1,FALSE),"")</f>
        <v/>
      </c>
    </row>
    <row r="36">
      <c r="A36" s="79" t="inlineStr">
        <is>
          <t>Skyhawk Aviation</t>
        </is>
      </c>
      <c r="B36" s="80" t="n">
        <v>45728</v>
      </c>
      <c r="C36" s="80" t="n"/>
      <c r="D36" s="6">
        <f>IFERROR(VLOOKUP($A36,Company_Cat!$C$2:$C$623,1,FALSE),"")</f>
        <v/>
      </c>
    </row>
    <row r="37">
      <c r="A37" s="79" t="inlineStr">
        <is>
          <t>ms Koos Swanepoel Developments</t>
        </is>
      </c>
      <c r="B37" s="80" t="n">
        <v>45706</v>
      </c>
      <c r="C37" s="80" t="n"/>
      <c r="D37" s="6">
        <f>IFERROR(VLOOKUP($A37,Company_Cat!$C$2:$C$623,1,FALSE),"")</f>
        <v/>
      </c>
    </row>
    <row r="38">
      <c r="A38" s="81" t="inlineStr">
        <is>
          <t>ms Universal Motorsport</t>
        </is>
      </c>
      <c r="B38" s="80" t="n">
        <v>45701</v>
      </c>
      <c r="C38" s="80" t="n"/>
      <c r="D38" s="6">
        <f>IFERROR(VLOOKUP($A38,Company_Cat!$C$2:$C$623,1,FALSE),"")</f>
        <v/>
      </c>
    </row>
    <row r="39">
      <c r="A39" s="79" t="inlineStr">
        <is>
          <t>Ultimate Heli (Pty) Ltd</t>
        </is>
      </c>
      <c r="B39" s="80" t="n">
        <v>45694</v>
      </c>
      <c r="C39" s="85" t="n"/>
      <c r="D39" s="6">
        <f>IFERROR(VLOOKUP($A39,Company_Cat!$C$2:$C$623,1,FALSE),"")</f>
        <v/>
      </c>
    </row>
    <row r="40">
      <c r="A40" s="79" t="inlineStr">
        <is>
          <t>ms T en N Vervaardiging CC</t>
        </is>
      </c>
      <c r="B40" s="80" t="n">
        <v>45672</v>
      </c>
      <c r="C40" s="80" t="n"/>
      <c r="D40" s="6">
        <f>IFERROR(VLOOKUP($A40,Company_Cat!$C$2:$C$623,1,FALSE),"")</f>
        <v/>
      </c>
    </row>
    <row r="41">
      <c r="A41" s="81" t="inlineStr">
        <is>
          <t>ms Hallspeed</t>
        </is>
      </c>
      <c r="B41" s="80" t="n">
        <v>45665</v>
      </c>
      <c r="C41" s="80" t="n"/>
      <c r="D41" s="6">
        <f>IFERROR(VLOOKUP($A41,Company_Cat!$C$2:$C$623,1,FALSE),"")</f>
        <v/>
      </c>
    </row>
    <row r="42">
      <c r="A42" s="81" t="inlineStr">
        <is>
          <t>Henley Air</t>
        </is>
      </c>
      <c r="B42" s="80" t="n">
        <v>45624</v>
      </c>
      <c r="C42" s="80" t="n"/>
      <c r="D42" s="6">
        <f>IFERROR(VLOOKUP($A42,Company_Cat!$C$2:$C$623,1,FALSE),"")</f>
        <v/>
      </c>
    </row>
    <row r="43">
      <c r="A43" s="81" t="inlineStr">
        <is>
          <t>Plane Maintenance</t>
        </is>
      </c>
      <c r="B43" s="80" t="n">
        <v>45616</v>
      </c>
      <c r="C43" s="85" t="n"/>
      <c r="D43" s="6">
        <f>IFERROR(VLOOKUP($A43,Company_Cat!$C$2:$C$623,1,FALSE),"")</f>
        <v/>
      </c>
    </row>
    <row r="44">
      <c r="A44" s="81" t="inlineStr">
        <is>
          <t>ms Samlin Racing</t>
        </is>
      </c>
      <c r="B44" s="80" t="n">
        <v>45615</v>
      </c>
      <c r="C44" s="80" t="n"/>
      <c r="D44" s="6">
        <f>IFERROR(VLOOKUP($A44,Company_Cat!$C$2:$C$623,1,FALSE),"")</f>
        <v/>
      </c>
    </row>
    <row r="45">
      <c r="A45" s="79" t="inlineStr">
        <is>
          <t>Nicholson Helicopters</t>
        </is>
      </c>
      <c r="B45" s="80" t="n">
        <v>45611</v>
      </c>
      <c r="C45" s="85" t="n"/>
      <c r="D45" s="6">
        <f>IFERROR(VLOOKUP($A45,Company_Cat!$C$2:$C$623,1,FALSE),"")</f>
        <v/>
      </c>
    </row>
    <row r="46">
      <c r="A46" s="79" t="inlineStr">
        <is>
          <t>Phoebus Apollo</t>
        </is>
      </c>
      <c r="B46" s="80" t="n">
        <v>45590</v>
      </c>
      <c r="C46" s="85" t="n"/>
      <c r="D46" s="6">
        <f>IFERROR(VLOOKUP($A46,Company_Cat!$C$2:$C$623,1,FALSE),"")</f>
        <v/>
      </c>
    </row>
    <row r="47">
      <c r="A47" s="81" t="inlineStr">
        <is>
          <t>Aircraft-Inc Reyno Coetzer</t>
        </is>
      </c>
      <c r="B47" s="80" t="n">
        <v>45588</v>
      </c>
      <c r="C47" s="85" t="n"/>
      <c r="D47" s="6">
        <f>IFERROR(VLOOKUP($A47,Company_Cat!$C$2:$C$623,1,FALSE),"")</f>
        <v/>
      </c>
    </row>
    <row r="48">
      <c r="A48" s="81" t="inlineStr">
        <is>
          <t>Next Aviation (Pty) Ltd</t>
        </is>
      </c>
      <c r="B48" s="80" t="n">
        <v>45586</v>
      </c>
      <c r="C48" s="85" t="n"/>
      <c r="D48" s="6">
        <f>IFERROR(VLOOKUP($A48,Company_Cat!$C$2:$C$623,1,FALSE),"")</f>
        <v/>
      </c>
    </row>
    <row r="49">
      <c r="A49" s="79" t="inlineStr">
        <is>
          <t>Axella Piet Poot</t>
        </is>
      </c>
      <c r="B49" s="80" t="n">
        <v>45569</v>
      </c>
      <c r="C49" s="85" t="n"/>
      <c r="D49" s="6">
        <f>IFERROR(VLOOKUP($A49,Company_Cat!$C$2:$C$623,1,FALSE),"")</f>
        <v/>
      </c>
    </row>
    <row r="50">
      <c r="A50" s="79" t="inlineStr">
        <is>
          <t>ms Fynie Turnmill</t>
        </is>
      </c>
      <c r="B50" s="80" t="n">
        <v>45565</v>
      </c>
      <c r="C50" s="80" t="n"/>
      <c r="D50" s="6">
        <f>IFERROR(VLOOKUP($A50,Company_Cat!$C$2:$C$623,1,FALSE),"")</f>
        <v/>
      </c>
    </row>
    <row r="51">
      <c r="A51" s="79" t="inlineStr">
        <is>
          <t>Superior Rotorworx</t>
        </is>
      </c>
      <c r="B51" s="80" t="n">
        <v>45552</v>
      </c>
      <c r="C51" s="80" t="n"/>
      <c r="D51" s="6">
        <f>IFERROR(VLOOKUP($A51,Company_Cat!$C$2:$C$623,1,FALSE),"")</f>
        <v/>
      </c>
    </row>
    <row r="52">
      <c r="A52" s="81" t="inlineStr">
        <is>
          <t>Aerodynamic Aviation</t>
        </is>
      </c>
      <c r="B52" s="80" t="n">
        <v>45531</v>
      </c>
      <c r="C52" s="85" t="n"/>
      <c r="D52" s="6">
        <f>IFERROR(VLOOKUP($A52,Company_Cat!$C$2:$C$623,1,FALSE),"")</f>
        <v/>
      </c>
    </row>
    <row r="53">
      <c r="A53" s="81" t="inlineStr">
        <is>
          <t>Pieter Wagenaar ADT</t>
        </is>
      </c>
      <c r="B53" s="80" t="n">
        <v>45531</v>
      </c>
      <c r="C53" s="85" t="n"/>
      <c r="D53" s="6">
        <f>IFERROR(VLOOKUP($A53,Company_Cat!$C$2:$C$623,1,FALSE),"")</f>
        <v/>
      </c>
    </row>
    <row r="54">
      <c r="A54" s="79" t="inlineStr">
        <is>
          <t>ms Zeelie Auditors</t>
        </is>
      </c>
      <c r="B54" s="80" t="n">
        <v>45525</v>
      </c>
      <c r="C54" s="80" t="n"/>
      <c r="D54" s="6">
        <f>IFERROR(VLOOKUP($A54,Company_Cat!$C$2:$C$623,1,FALSE),"")</f>
        <v/>
      </c>
    </row>
    <row r="55">
      <c r="A55" s="79" t="inlineStr">
        <is>
          <t>ms Metal Used Spares</t>
        </is>
      </c>
      <c r="B55" s="80" t="n">
        <v>45516</v>
      </c>
      <c r="C55" s="80" t="n"/>
      <c r="D55" s="6">
        <f>IFERROR(VLOOKUP($A55,Company_Cat!$C$2:$C$623,1,FALSE),"")</f>
        <v/>
      </c>
    </row>
    <row r="56">
      <c r="A56" s="81" t="inlineStr">
        <is>
          <t>ms Lube-Net</t>
        </is>
      </c>
      <c r="B56" s="80" t="n">
        <v>45499</v>
      </c>
      <c r="C56" s="80" t="n"/>
      <c r="D56" s="6">
        <f>IFERROR(VLOOKUP($A56,Company_Cat!$C$2:$C$623,1,FALSE),"")</f>
        <v/>
      </c>
    </row>
    <row r="57">
      <c r="A57" s="79" t="inlineStr">
        <is>
          <t>AMI</t>
        </is>
      </c>
      <c r="B57" s="80" t="n">
        <v>45483</v>
      </c>
      <c r="C57" s="85" t="n"/>
      <c r="D57" s="6">
        <f>IFERROR(VLOOKUP($A57,Company_Cat!$C$2:$C$623,1,FALSE),"")</f>
        <v/>
      </c>
    </row>
    <row r="58">
      <c r="A58" s="81" t="inlineStr">
        <is>
          <t>E'scape Helicopter Services</t>
        </is>
      </c>
      <c r="B58" s="80" t="n">
        <v>45454</v>
      </c>
      <c r="C58" s="85" t="n"/>
      <c r="D58" s="6">
        <f>IFERROR(VLOOKUP($A58,Company_Cat!$C$2:$C$623,1,FALSE),"")</f>
        <v/>
      </c>
    </row>
    <row r="59">
      <c r="A59" s="79" t="inlineStr">
        <is>
          <t>Starlite</t>
        </is>
      </c>
      <c r="B59" s="80" t="n">
        <v>45453</v>
      </c>
      <c r="C59" s="80" t="n"/>
      <c r="D59" s="6">
        <f>IFERROR(VLOOKUP($A59,Company_Cat!$C$2:$C$623,1,FALSE),"")</f>
        <v/>
      </c>
    </row>
    <row r="60">
      <c r="A60" s="81" t="inlineStr">
        <is>
          <t>Edmund Sky Trails Ltd.</t>
        </is>
      </c>
      <c r="B60" s="80" t="n">
        <v>45436</v>
      </c>
      <c r="C60" s="85" t="n"/>
      <c r="D60" s="6">
        <f>IFERROR(VLOOKUP($A60,Company_Cat!$C$2:$C$623,1,FALSE),"")</f>
        <v/>
      </c>
    </row>
    <row r="61">
      <c r="A61" s="81" t="inlineStr">
        <is>
          <t>Pilot n Planes cc</t>
        </is>
      </c>
      <c r="B61" s="80" t="n">
        <v>45434</v>
      </c>
      <c r="C61" s="85" t="n"/>
      <c r="D61" s="6">
        <f>IFERROR(VLOOKUP($A61,Company_Cat!$C$2:$C$623,1,FALSE),"")</f>
        <v/>
      </c>
    </row>
    <row r="62">
      <c r="A62" s="79" t="inlineStr">
        <is>
          <t>Euro Blitz T/A Hangar One</t>
        </is>
      </c>
      <c r="B62" s="80" t="n">
        <v>45393</v>
      </c>
      <c r="C62" s="85" t="n"/>
      <c r="D62" s="6">
        <f>IFERROR(VLOOKUP($A62,Company_Cat!$C$2:$C$623,1,FALSE),"")</f>
        <v/>
      </c>
    </row>
    <row r="63">
      <c r="A63" s="81" t="inlineStr">
        <is>
          <t>ms Worx autohaus</t>
        </is>
      </c>
      <c r="B63" s="80" t="n">
        <v>45386</v>
      </c>
      <c r="C63" s="80" t="n"/>
      <c r="D63" s="6">
        <f>IFERROR(VLOOKUP($A63,Company_Cat!$C$2:$C$623,1,FALSE),"")</f>
        <v/>
      </c>
    </row>
    <row r="64">
      <c r="A64" s="79" t="inlineStr">
        <is>
          <t>ms J R T Racing</t>
        </is>
      </c>
      <c r="B64" s="80" t="n">
        <v>45379</v>
      </c>
      <c r="C64" s="80" t="n"/>
      <c r="D64" s="6">
        <f>IFERROR(VLOOKUP($A64,Company_Cat!$C$2:$C$623,1,FALSE),"")</f>
        <v/>
      </c>
    </row>
    <row r="65">
      <c r="A65" s="79" t="inlineStr">
        <is>
          <t>Shift AviationSolutions ( Pty) Ltd</t>
        </is>
      </c>
      <c r="B65" s="80" t="n">
        <v>45377</v>
      </c>
      <c r="C65" s="85" t="n"/>
      <c r="D65" s="6">
        <f>IFERROR(VLOOKUP($A65,Company_Cat!$C$2:$C$623,1,FALSE),"")</f>
        <v/>
      </c>
    </row>
    <row r="66">
      <c r="A66" s="81" t="inlineStr">
        <is>
          <t>NAC  rand Helicopters</t>
        </is>
      </c>
      <c r="B66" s="80" t="n">
        <v>45363</v>
      </c>
      <c r="C66" s="80" t="n"/>
      <c r="D66" s="6">
        <f>IFERROR(VLOOKUP($A66,Company_Cat!$C$2:$C$623,1,FALSE),"")</f>
        <v/>
      </c>
    </row>
    <row r="67">
      <c r="A67" s="79" t="inlineStr">
        <is>
          <t>Krurekpro</t>
        </is>
      </c>
      <c r="B67" s="80" t="n">
        <v>45352</v>
      </c>
      <c r="C67" s="85" t="n"/>
      <c r="D67" s="6">
        <f>IFERROR(VLOOKUP($A67,Company_Cat!$C$2:$C$623,1,FALSE),"")</f>
        <v/>
      </c>
    </row>
    <row r="68">
      <c r="A68" s="81" t="inlineStr">
        <is>
          <t>ms Haupt Racing</t>
        </is>
      </c>
      <c r="B68" s="80" t="n">
        <v>45350</v>
      </c>
      <c r="C68" s="80" t="n"/>
      <c r="D68" s="6">
        <f>IFERROR(VLOOKUP($A68,Company_Cat!$C$2:$C$623,1,FALSE),"")</f>
        <v/>
      </c>
    </row>
    <row r="69">
      <c r="A69" s="79" t="inlineStr">
        <is>
          <t>Trio Bloem</t>
        </is>
      </c>
      <c r="B69" s="80" t="n">
        <v>45341</v>
      </c>
      <c r="C69" s="85" t="n"/>
      <c r="D69" s="6">
        <f>IFERROR(VLOOKUP($A69,Company_Cat!$C$2:$C$623,1,FALSE),"")</f>
        <v/>
      </c>
    </row>
    <row r="70">
      <c r="A70" s="81" t="inlineStr">
        <is>
          <t>ms Scribante concrete</t>
        </is>
      </c>
      <c r="B70" s="80" t="n">
        <v>45320</v>
      </c>
      <c r="C70" s="80" t="n"/>
      <c r="D70" s="6">
        <f>IFERROR(VLOOKUP($A70,Company_Cat!$C$2:$C$623,1,FALSE),"")</f>
        <v/>
      </c>
    </row>
    <row r="71">
      <c r="A71" s="81" t="inlineStr">
        <is>
          <t>AMC</t>
        </is>
      </c>
      <c r="B71" s="80" t="n">
        <v>45313</v>
      </c>
      <c r="C71" s="85" t="n"/>
      <c r="D71" s="6">
        <f>IFERROR(VLOOKUP($A71,Company_Cat!$C$2:$C$623,1,FALSE),"")</f>
        <v/>
      </c>
    </row>
    <row r="72">
      <c r="A72" s="81" t="inlineStr">
        <is>
          <t>ms Colt &amp; Toyota Spares</t>
        </is>
      </c>
      <c r="B72" s="80" t="n">
        <v>45264</v>
      </c>
      <c r="C72" s="80" t="n"/>
      <c r="D72" s="6">
        <f>IFERROR(VLOOKUP($A72,Company_Cat!$C$2:$C$623,1,FALSE),"")</f>
        <v/>
      </c>
    </row>
    <row r="73">
      <c r="A73" s="79" t="inlineStr">
        <is>
          <t>ms Int Race Supplies</t>
        </is>
      </c>
      <c r="B73" s="80" t="n">
        <v>45260</v>
      </c>
      <c r="C73" s="80" t="n"/>
      <c r="D73" s="6">
        <f>IFERROR(VLOOKUP($A73,Company_Cat!$C$2:$C$623,1,FALSE),"")</f>
        <v/>
      </c>
    </row>
    <row r="74">
      <c r="A74" s="79" t="inlineStr">
        <is>
          <t>Aerostratus N v Staden</t>
        </is>
      </c>
      <c r="B74" s="80" t="n">
        <v>45252</v>
      </c>
      <c r="C74" s="85" t="n"/>
      <c r="D74" s="6">
        <f>IFERROR(VLOOKUP($A74,Company_Cat!$C$2:$C$623,1,FALSE),"")</f>
        <v/>
      </c>
    </row>
    <row r="75">
      <c r="A75" s="79" t="inlineStr">
        <is>
          <t>ms Grand Control Pty (Ltd)</t>
        </is>
      </c>
      <c r="B75" s="80" t="n">
        <v>45239</v>
      </c>
      <c r="C75" s="80" t="n"/>
      <c r="D75" s="6">
        <f>IFERROR(VLOOKUP($A75,Company_Cat!$C$2:$C$623,1,FALSE),"")</f>
        <v/>
      </c>
    </row>
    <row r="76">
      <c r="A76" s="81" t="inlineStr">
        <is>
          <t>Executive a/c refurbish</t>
        </is>
      </c>
      <c r="B76" s="80" t="n">
        <v>45231</v>
      </c>
      <c r="C76" s="80" t="n"/>
      <c r="D76" s="6">
        <f>IFERROR(VLOOKUP($A76,Company_Cat!$C$2:$C$623,1,FALSE),"")</f>
        <v/>
      </c>
    </row>
    <row r="77">
      <c r="A77" s="79" t="inlineStr">
        <is>
          <t>ms GAP</t>
        </is>
      </c>
      <c r="B77" s="80" t="n">
        <v>45223</v>
      </c>
      <c r="C77" s="80" t="n"/>
      <c r="D77" s="6">
        <f>IFERROR(VLOOKUP($A77,Company_Cat!$C$2:$C$623,1,FALSE),"")</f>
        <v/>
      </c>
    </row>
    <row r="78">
      <c r="A78" s="81" t="inlineStr">
        <is>
          <t>Superior Millennium Aircraft</t>
        </is>
      </c>
      <c r="B78" s="80" t="n">
        <v>45219</v>
      </c>
      <c r="C78" s="80" t="n"/>
      <c r="D78" s="6">
        <f>IFERROR(VLOOKUP($A78,Company_Cat!$C$2:$C$623,1,FALSE),"")</f>
        <v/>
      </c>
    </row>
    <row r="79">
      <c r="A79" s="79" t="inlineStr">
        <is>
          <t>ms A1 Bakkie Spares</t>
        </is>
      </c>
      <c r="B79" s="80" t="n">
        <v>45201</v>
      </c>
      <c r="C79" s="80" t="n"/>
      <c r="D79" s="6">
        <f>IFERROR(VLOOKUP($A79,Company_Cat!$C$2:$C$623,1,FALSE),"")</f>
        <v/>
      </c>
    </row>
    <row r="80">
      <c r="A80" s="79" t="inlineStr">
        <is>
          <t>Wingman</t>
        </is>
      </c>
      <c r="B80" s="80" t="n">
        <v>45170</v>
      </c>
      <c r="C80" s="85" t="n"/>
      <c r="D80" s="6">
        <f>IFERROR(VLOOKUP($A80,Company_Cat!$C$2:$C$623,1,FALSE),"")</f>
        <v/>
      </c>
    </row>
    <row r="81">
      <c r="A81" s="79" t="inlineStr">
        <is>
          <t>Heli-Air</t>
        </is>
      </c>
      <c r="B81" s="80" t="n">
        <v>45167</v>
      </c>
      <c r="C81" s="80" t="n"/>
      <c r="D81" s="6">
        <f>IFERROR(VLOOKUP($A81,Company_Cat!$C$2:$C$623,1,FALSE),"")</f>
        <v/>
      </c>
    </row>
    <row r="82">
      <c r="A82" s="81" t="inlineStr">
        <is>
          <t>Legacy Aviation</t>
        </is>
      </c>
      <c r="B82" s="80" t="n">
        <v>45167</v>
      </c>
      <c r="C82" s="85" t="n"/>
      <c r="D82" s="6">
        <f>IFERROR(VLOOKUP($A82,Company_Cat!$C$2:$C$623,1,FALSE),"")</f>
        <v/>
      </c>
    </row>
    <row r="83">
      <c r="A83" s="79" t="inlineStr">
        <is>
          <t>Blue Chip Flight School</t>
        </is>
      </c>
      <c r="B83" s="80" t="n">
        <v>45154</v>
      </c>
      <c r="C83" s="85" t="n"/>
      <c r="D83" s="6">
        <f>IFERROR(VLOOKUP($A83,Company_Cat!$C$2:$C$623,1,FALSE),"")</f>
        <v/>
      </c>
    </row>
    <row r="84">
      <c r="A84" s="81" t="inlineStr">
        <is>
          <t>ms G&amp;H Racing</t>
        </is>
      </c>
      <c r="B84" s="80" t="n">
        <v>45149</v>
      </c>
      <c r="C84" s="80" t="n"/>
      <c r="D84" s="6">
        <f>IFERROR(VLOOKUP($A84,Company_Cat!$C$2:$C$623,1,FALSE),"")</f>
        <v/>
      </c>
    </row>
    <row r="85">
      <c r="A85" s="79" t="inlineStr">
        <is>
          <t>ms Jannie</t>
        </is>
      </c>
      <c r="B85" s="80" t="n">
        <v>45146</v>
      </c>
      <c r="C85" s="80" t="n"/>
      <c r="D85" s="6">
        <f>IFERROR(VLOOKUP($A85,Company_Cat!$C$2:$C$623,1,FALSE),"")</f>
        <v/>
      </c>
    </row>
    <row r="86">
      <c r="A86" s="81" t="inlineStr">
        <is>
          <t>Loutzavia</t>
        </is>
      </c>
      <c r="B86" s="80" t="n">
        <v>45136</v>
      </c>
      <c r="C86" s="85" t="n"/>
      <c r="D86" s="6">
        <f>IFERROR(VLOOKUP($A86,Company_Cat!$C$2:$C$623,1,FALSE),"")</f>
        <v/>
      </c>
    </row>
    <row r="87">
      <c r="A87" s="79" t="inlineStr">
        <is>
          <t>ms Derek Minnie</t>
        </is>
      </c>
      <c r="B87" s="80" t="n">
        <v>45106</v>
      </c>
      <c r="C87" s="80" t="n"/>
      <c r="D87" s="6">
        <f>IFERROR(VLOOKUP($A87,Company_Cat!$C$2:$C$623,1,FALSE),"")</f>
        <v/>
      </c>
    </row>
    <row r="88">
      <c r="A88" s="79" t="inlineStr">
        <is>
          <t>Ivo rinkel</t>
        </is>
      </c>
      <c r="B88" s="80" t="n">
        <v>45100</v>
      </c>
      <c r="C88" s="85" t="n"/>
      <c r="D88" s="6">
        <f>IFERROR(VLOOKUP($A88,Company_Cat!$C$2:$C$623,1,FALSE),"")</f>
        <v/>
      </c>
    </row>
    <row r="89">
      <c r="A89" s="81" t="inlineStr">
        <is>
          <t>Gemair</t>
        </is>
      </c>
      <c r="B89" s="80" t="n">
        <v>45090</v>
      </c>
      <c r="C89" s="80" t="n"/>
      <c r="D89" s="6">
        <f>IFERROR(VLOOKUP($A89,Company_Cat!$C$2:$C$623,1,FALSE),"")</f>
        <v/>
      </c>
    </row>
    <row r="90">
      <c r="A90" s="79" t="inlineStr">
        <is>
          <t>BAC Maintenance (PTY) Ltd</t>
        </is>
      </c>
      <c r="B90" s="80" t="n">
        <v>45071</v>
      </c>
      <c r="C90" s="85" t="n"/>
      <c r="D90" s="6">
        <f>IFERROR(VLOOKUP($A90,Company_Cat!$C$2:$C$623,1,FALSE),"")</f>
        <v/>
      </c>
    </row>
    <row r="91">
      <c r="A91" s="79" t="inlineStr">
        <is>
          <t>Tailwind</t>
        </is>
      </c>
      <c r="B91" s="80" t="n">
        <v>45049</v>
      </c>
      <c r="C91" s="85" t="n"/>
      <c r="D91" s="6">
        <f>IFERROR(VLOOKUP($A91,Company_Cat!$C$2:$C$623,1,FALSE),"")</f>
        <v/>
      </c>
    </row>
    <row r="92">
      <c r="A92" s="79" t="inlineStr">
        <is>
          <t>ms ultragroup sasol vw polo</t>
        </is>
      </c>
      <c r="B92" s="80" t="n">
        <v>45036</v>
      </c>
      <c r="C92" s="80" t="n"/>
      <c r="D92" s="6">
        <f>IFERROR(VLOOKUP($A92,Company_Cat!$C$2:$C$623,1,FALSE),"")</f>
        <v/>
      </c>
    </row>
    <row r="93">
      <c r="A93" s="79" t="inlineStr">
        <is>
          <t>ms Chris Budnik</t>
        </is>
      </c>
      <c r="B93" s="80" t="n">
        <v>45035</v>
      </c>
      <c r="C93" s="80" t="n"/>
      <c r="D93" s="6">
        <f>IFERROR(VLOOKUP($A93,Company_Cat!$C$2:$C$623,1,FALSE),"")</f>
        <v/>
      </c>
    </row>
    <row r="94">
      <c r="A94" s="79" t="inlineStr">
        <is>
          <t>Roesch av</t>
        </is>
      </c>
      <c r="B94" s="80" t="n">
        <v>45023</v>
      </c>
      <c r="C94" s="85" t="n"/>
      <c r="D94" s="6">
        <f>IFERROR(VLOOKUP($A94,Company_Cat!$C$2:$C$623,1,FALSE),"")</f>
        <v/>
      </c>
    </row>
    <row r="95">
      <c r="A95" s="81" t="inlineStr">
        <is>
          <t>CFAM</t>
        </is>
      </c>
      <c r="B95" s="80" t="n">
        <v>45012</v>
      </c>
      <c r="C95" s="85" t="n"/>
      <c r="D95" s="6">
        <f>IFERROR(VLOOKUP($A95,Company_Cat!$C$2:$C$623,1,FALSE),"")</f>
        <v/>
      </c>
    </row>
    <row r="96">
      <c r="A96" s="81" t="inlineStr">
        <is>
          <t>Skycare</t>
        </is>
      </c>
      <c r="B96" s="80" t="n">
        <v>44987</v>
      </c>
      <c r="C96" s="80" t="n"/>
      <c r="D96" s="6">
        <f>IFERROR(VLOOKUP($A96,Company_Cat!$C$2:$C$623,1,FALSE),"")</f>
        <v/>
      </c>
    </row>
    <row r="97">
      <c r="A97" s="81" t="inlineStr">
        <is>
          <t>Tactical Reaction</t>
        </is>
      </c>
      <c r="B97" s="80" t="n">
        <v>44954</v>
      </c>
      <c r="C97" s="85" t="n"/>
      <c r="D97" s="6">
        <f>IFERROR(VLOOKUP($A97,Company_Cat!$C$2:$C$623,1,FALSE),"")</f>
        <v/>
      </c>
    </row>
    <row r="98">
      <c r="A98" s="81" t="inlineStr">
        <is>
          <t>Investment Aircraft</t>
        </is>
      </c>
      <c r="B98" s="80" t="n">
        <v>44953</v>
      </c>
      <c r="C98" s="85" t="n"/>
      <c r="D98" s="6">
        <f>IFERROR(VLOOKUP($A98,Company_Cat!$C$2:$C$623,1,FALSE),"")</f>
        <v/>
      </c>
    </row>
    <row r="99">
      <c r="A99" s="81" t="inlineStr">
        <is>
          <t>ms Zovibrite</t>
        </is>
      </c>
      <c r="B99" s="80" t="n">
        <v>44883</v>
      </c>
      <c r="C99" s="80" t="n"/>
      <c r="D99" s="6">
        <f>IFERROR(VLOOKUP($A99,Company_Cat!$C$2:$C$623,1,FALSE),"")</f>
        <v/>
      </c>
    </row>
    <row r="100">
      <c r="A100" s="81" t="inlineStr">
        <is>
          <t>Simuflight/Aviamech</t>
        </is>
      </c>
      <c r="B100" s="80" t="n">
        <v>44830</v>
      </c>
      <c r="C100" s="85" t="n"/>
      <c r="D100" s="6">
        <f>IFERROR(VLOOKUP($A100,Company_Cat!$C$2:$C$623,1,FALSE),"")</f>
        <v/>
      </c>
    </row>
    <row r="101">
      <c r="A101" s="81" t="inlineStr">
        <is>
          <t>aerocolour alfred</t>
        </is>
      </c>
      <c r="B101" s="80" t="n">
        <v>44827</v>
      </c>
      <c r="C101" s="85" t="n"/>
      <c r="D101" s="6">
        <f>IFERROR(VLOOKUP($A101,Company_Cat!$C$2:$C$623,1,FALSE),"")</f>
        <v/>
      </c>
    </row>
    <row r="102">
      <c r="A102" s="79" t="inlineStr">
        <is>
          <t>P Connan Property I</t>
        </is>
      </c>
      <c r="B102" s="80" t="n">
        <v>44826</v>
      </c>
      <c r="C102" s="85" t="n"/>
      <c r="D102" s="6">
        <f>IFERROR(VLOOKUP($A102,Company_Cat!$C$2:$C$623,1,FALSE),"")</f>
        <v/>
      </c>
    </row>
    <row r="103">
      <c r="A103" s="79" t="inlineStr">
        <is>
          <t>Nico smit</t>
        </is>
      </c>
      <c r="B103" s="80" t="n">
        <v>44816</v>
      </c>
      <c r="C103" s="85" t="n"/>
      <c r="D103" s="6">
        <f>IFERROR(VLOOKUP($A103,Company_Cat!$C$2:$C$623,1,FALSE),"")</f>
        <v/>
      </c>
    </row>
    <row r="104">
      <c r="A104" s="81" t="inlineStr">
        <is>
          <t>ms TB Racing</t>
        </is>
      </c>
      <c r="B104" s="80" t="n">
        <v>44809</v>
      </c>
      <c r="C104" s="80" t="n"/>
      <c r="D104" s="6">
        <f>IFERROR(VLOOKUP($A104,Company_Cat!$C$2:$C$623,1,FALSE),"")</f>
        <v/>
      </c>
    </row>
    <row r="105">
      <c r="A105" s="79" t="inlineStr">
        <is>
          <t>Aerocore</t>
        </is>
      </c>
      <c r="B105" s="80" t="n">
        <v>44728</v>
      </c>
      <c r="C105" s="85" t="n"/>
      <c r="D105" s="6">
        <f>IFERROR(VLOOKUP($A105,Company_Cat!$C$2:$C$623,1,FALSE),"")</f>
        <v/>
      </c>
    </row>
    <row r="106">
      <c r="A106" s="79" t="inlineStr">
        <is>
          <t>Greystones</t>
        </is>
      </c>
      <c r="B106" s="80" t="n">
        <v>44704</v>
      </c>
      <c r="C106" s="85" t="n"/>
      <c r="D106" s="6">
        <f>IFERROR(VLOOKUP($A106,Company_Cat!$C$2:$C$623,1,FALSE),"")</f>
        <v/>
      </c>
    </row>
    <row r="107">
      <c r="A107" s="79" t="inlineStr">
        <is>
          <t>Fantini Air</t>
        </is>
      </c>
      <c r="B107" s="80" t="n">
        <v>44657</v>
      </c>
      <c r="C107" s="85" t="n"/>
      <c r="D107" s="6">
        <f>IFERROR(VLOOKUP($A107,Company_Cat!$C$2:$C$623,1,FALSE),"")</f>
        <v/>
      </c>
    </row>
    <row r="108">
      <c r="A108" s="81" t="inlineStr">
        <is>
          <t>Noord Wes Universiteit</t>
        </is>
      </c>
      <c r="B108" s="80" t="n">
        <v>44634</v>
      </c>
      <c r="C108" s="85" t="n"/>
      <c r="D108" s="6">
        <f>IFERROR(VLOOKUP($A108,Company_Cat!$C$2:$C$623,1,FALSE),"")</f>
        <v/>
      </c>
    </row>
    <row r="109">
      <c r="A109" s="81" t="inlineStr">
        <is>
          <t>Jonker Sailplanes</t>
        </is>
      </c>
      <c r="B109" s="80" t="n">
        <v>44620</v>
      </c>
      <c r="C109" s="80" t="n"/>
      <c r="D109" s="6">
        <f>IFERROR(VLOOKUP($A109,Company_Cat!$C$2:$C$623,1,FALSE),"")</f>
        <v/>
      </c>
    </row>
    <row r="110">
      <c r="A110" s="81" t="inlineStr">
        <is>
          <t>Ferreira Aviation</t>
        </is>
      </c>
      <c r="B110" s="80" t="n">
        <v>44610</v>
      </c>
      <c r="C110" s="80" t="n"/>
      <c r="D110" s="6">
        <f>IFERROR(VLOOKUP($A110,Company_Cat!$C$2:$C$623,1,FALSE),"")</f>
        <v/>
      </c>
    </row>
    <row r="111">
      <c r="A111" s="79" t="inlineStr">
        <is>
          <t>Global Composite Solutions</t>
        </is>
      </c>
      <c r="B111" s="80" t="n">
        <v>44596</v>
      </c>
      <c r="C111" s="85" t="n"/>
      <c r="D111" s="6">
        <f>IFERROR(VLOOKUP($A111,Company_Cat!$C$2:$C$623,1,FALSE),"")</f>
        <v/>
      </c>
    </row>
    <row r="112">
      <c r="A112" s="81" t="inlineStr">
        <is>
          <t>Adventure Air</t>
        </is>
      </c>
      <c r="B112" s="80" t="n">
        <v>44586</v>
      </c>
      <c r="C112" s="80" t="n"/>
      <c r="D112" s="6">
        <f>IFERROR(VLOOKUP($A112,Company_Cat!$C$2:$C$623,1,FALSE),"")</f>
        <v/>
      </c>
    </row>
    <row r="113">
      <c r="A113" s="79" t="inlineStr">
        <is>
          <t>Safomar</t>
        </is>
      </c>
      <c r="B113" s="80" t="n">
        <v>44582</v>
      </c>
      <c r="C113" s="80" t="n"/>
      <c r="D113" s="6">
        <f>IFERROR(VLOOKUP($A113,Company_Cat!$C$2:$C$623,1,FALSE),"")</f>
        <v/>
      </c>
    </row>
    <row r="114">
      <c r="A114" s="81" t="inlineStr">
        <is>
          <t>ms SP Racing</t>
        </is>
      </c>
      <c r="B114" s="80" t="n">
        <v>44510</v>
      </c>
      <c r="C114" s="80" t="n"/>
      <c r="D114" s="6">
        <f>IFERROR(VLOOKUP($A114,Company_Cat!$C$2:$C$623,1,FALSE),"")</f>
        <v/>
      </c>
    </row>
    <row r="115">
      <c r="A115" s="79" t="inlineStr">
        <is>
          <t>Alpha One Aviation Pty Ltd</t>
        </is>
      </c>
      <c r="B115" s="80" t="n">
        <v>44455</v>
      </c>
      <c r="C115" s="85" t="n"/>
      <c r="D115" s="6">
        <f>IFERROR(VLOOKUP($A115,Company_Cat!$C$2:$C$623,1,FALSE),"")</f>
        <v/>
      </c>
    </row>
    <row r="116">
      <c r="A116" s="81" t="inlineStr">
        <is>
          <t>Future Grace (Pty) Ltd</t>
        </is>
      </c>
      <c r="B116" s="80" t="n">
        <v>44427</v>
      </c>
      <c r="C116" s="85" t="n"/>
      <c r="D116" s="6">
        <f>IFERROR(VLOOKUP($A116,Company_Cat!$C$2:$C$623,1,FALSE),"")</f>
        <v/>
      </c>
    </row>
    <row r="117">
      <c r="A117" s="79" t="inlineStr">
        <is>
          <t>ms B Speed</t>
        </is>
      </c>
      <c r="B117" s="80" t="n">
        <v>44414</v>
      </c>
      <c r="C117" s="80" t="n"/>
      <c r="D117" s="6">
        <f>IFERROR(VLOOKUP($A117,Company_Cat!$C$2:$C$623,1,FALSE),"")</f>
        <v/>
      </c>
    </row>
    <row r="118">
      <c r="A118" s="79" t="inlineStr">
        <is>
          <t>Legend Aviation</t>
        </is>
      </c>
      <c r="B118" s="80" t="n">
        <v>44409</v>
      </c>
      <c r="C118" s="85" t="n"/>
      <c r="D118" s="6">
        <f>IFERROR(VLOOKUP($A118,Company_Cat!$C$2:$C$623,1,FALSE),"")</f>
        <v/>
      </c>
    </row>
    <row r="119">
      <c r="A119" s="81" t="inlineStr">
        <is>
          <t>Jet A1 Conversions</t>
        </is>
      </c>
      <c r="B119" s="80" t="n">
        <v>44378</v>
      </c>
      <c r="C119" s="80" t="n"/>
      <c r="D119" s="6">
        <f>IFERROR(VLOOKUP($A119,Company_Cat!$C$2:$C$623,1,FALSE),"")</f>
        <v/>
      </c>
    </row>
    <row r="120">
      <c r="A120" s="79" t="inlineStr">
        <is>
          <t>ms Andy Allwagen</t>
        </is>
      </c>
      <c r="B120" s="80" t="n">
        <v>44376</v>
      </c>
      <c r="C120" s="80" t="n"/>
      <c r="D120" s="6">
        <f>IFERROR(VLOOKUP($A120,Company_Cat!$C$2:$C$623,1,FALSE),"")</f>
        <v/>
      </c>
    </row>
    <row r="121">
      <c r="A121" s="79" t="inlineStr">
        <is>
          <t>S A Airlink</t>
        </is>
      </c>
      <c r="B121" s="80" t="n">
        <v>44337</v>
      </c>
      <c r="C121" s="80" t="n"/>
      <c r="D121" s="6">
        <f>IFERROR(VLOOKUP($A121,Company_Cat!$C$2:$C$623,1,FALSE),"")</f>
        <v/>
      </c>
    </row>
    <row r="122">
      <c r="A122" s="81" t="inlineStr">
        <is>
          <t>Avtech</t>
        </is>
      </c>
      <c r="B122" s="80" t="n">
        <v>44301</v>
      </c>
      <c r="C122" s="85" t="n"/>
      <c r="D122" s="6">
        <f>IFERROR(VLOOKUP($A122,Company_Cat!$C$2:$C$623,1,FALSE),"")</f>
        <v/>
      </c>
    </row>
    <row r="123">
      <c r="A123" s="81" t="inlineStr">
        <is>
          <t>ms Mackie</t>
        </is>
      </c>
      <c r="B123" s="80" t="n">
        <v>44292</v>
      </c>
      <c r="C123" s="80" t="n"/>
      <c r="D123" s="6">
        <f>IFERROR(VLOOKUP($A123,Company_Cat!$C$2:$C$623,1,FALSE),"")</f>
        <v/>
      </c>
    </row>
    <row r="124">
      <c r="A124" s="79" t="inlineStr">
        <is>
          <t>Berts Bricks</t>
        </is>
      </c>
      <c r="B124" s="80" t="n">
        <v>44257</v>
      </c>
      <c r="C124" s="85" t="n"/>
      <c r="D124" s="6">
        <f>IFERROR(VLOOKUP($A124,Company_Cat!$C$2:$C$623,1,FALSE),"")</f>
        <v/>
      </c>
    </row>
    <row r="125">
      <c r="A125" s="81" t="inlineStr">
        <is>
          <t>ms BMW Montana</t>
        </is>
      </c>
      <c r="B125" s="80" t="n">
        <v>44229</v>
      </c>
      <c r="C125" s="80" t="n"/>
      <c r="D125" s="6">
        <f>IFERROR(VLOOKUP($A125,Company_Cat!$C$2:$C$623,1,FALSE),"")</f>
        <v/>
      </c>
    </row>
    <row r="126">
      <c r="A126" s="79" t="inlineStr">
        <is>
          <t>PRO AV Andre Wdbm</t>
        </is>
      </c>
      <c r="B126" s="80" t="n">
        <v>44228</v>
      </c>
      <c r="C126" s="85" t="n"/>
      <c r="D126" s="6">
        <f>IFERROR(VLOOKUP($A126,Company_Cat!$C$2:$C$623,1,FALSE),"")</f>
        <v/>
      </c>
    </row>
    <row r="127">
      <c r="A127" s="79" t="inlineStr">
        <is>
          <t>Flyonics</t>
        </is>
      </c>
      <c r="B127" s="80" t="n">
        <v>44165</v>
      </c>
      <c r="C127" s="80" t="n"/>
      <c r="D127" s="6">
        <f>IFERROR(VLOOKUP($A127,Company_Cat!$C$2:$C$623,1,FALSE),"")</f>
        <v/>
      </c>
    </row>
    <row r="128">
      <c r="A128" s="79" t="inlineStr">
        <is>
          <t>Aircraft Unlimited</t>
        </is>
      </c>
      <c r="B128" s="80" t="n">
        <v>44112</v>
      </c>
      <c r="C128" s="85" t="n"/>
      <c r="D128" s="6">
        <f>IFERROR(VLOOKUP($A128,Company_Cat!$C$2:$C$623,1,FALSE),"")</f>
        <v/>
      </c>
    </row>
    <row r="129">
      <c r="A129" s="81" t="inlineStr">
        <is>
          <t>ms Fynie</t>
        </is>
      </c>
      <c r="B129" s="80" t="n">
        <v>44088</v>
      </c>
      <c r="C129" s="80" t="n"/>
      <c r="D129" s="6">
        <f>IFERROR(VLOOKUP($A129,Company_Cat!$C$2:$C$623,1,FALSE),"")</f>
        <v/>
      </c>
    </row>
    <row r="130">
      <c r="A130" s="79" t="inlineStr">
        <is>
          <t>mark lewthwaite</t>
        </is>
      </c>
      <c r="B130" s="80" t="n">
        <v>44076</v>
      </c>
      <c r="C130" s="85" t="n"/>
      <c r="D130" s="6">
        <f>IFERROR(VLOOKUP($A130,Company_Cat!$C$2:$C$623,1,FALSE),"")</f>
        <v/>
      </c>
    </row>
    <row r="131">
      <c r="A131" s="81" t="inlineStr">
        <is>
          <t>ms Dynamic Tyre Solutions</t>
        </is>
      </c>
      <c r="B131" s="80" t="n">
        <v>44075</v>
      </c>
      <c r="C131" s="80" t="n"/>
      <c r="D131" s="6">
        <f>IFERROR(VLOOKUP($A131,Company_Cat!$C$2:$C$623,1,FALSE),"")</f>
        <v/>
      </c>
    </row>
    <row r="132">
      <c r="A132" s="79" t="inlineStr">
        <is>
          <t>MFT Admin Services Pty Ltd</t>
        </is>
      </c>
      <c r="B132" s="80" t="n">
        <v>43998</v>
      </c>
      <c r="C132" s="85" t="n"/>
      <c r="D132" s="6">
        <f>IFERROR(VLOOKUP($A132,Company_Cat!$C$2:$C$623,1,FALSE),"")</f>
        <v/>
      </c>
    </row>
    <row r="133">
      <c r="A133" s="79" t="inlineStr">
        <is>
          <t>L'Aviatore (Pty) Ltd</t>
        </is>
      </c>
      <c r="B133" s="80" t="n">
        <v>43970</v>
      </c>
      <c r="C133" s="85" t="n"/>
      <c r="D133" s="6">
        <f>IFERROR(VLOOKUP($A133,Company_Cat!$C$2:$C$623,1,FALSE),"")</f>
        <v/>
      </c>
    </row>
    <row r="134">
      <c r="A134" s="79" t="inlineStr">
        <is>
          <t>ms Action race Ryan</t>
        </is>
      </c>
      <c r="B134" s="80" t="n">
        <v>43873</v>
      </c>
      <c r="C134" s="85" t="n"/>
      <c r="D134" s="6">
        <f>IFERROR(VLOOKUP($A134,Company_Cat!$C$2:$C$623,1,FALSE),"")</f>
        <v/>
      </c>
    </row>
    <row r="135">
      <c r="A135" s="81" t="inlineStr">
        <is>
          <t>ms Deon Holliday</t>
        </is>
      </c>
      <c r="B135" s="80" t="n">
        <v>43867</v>
      </c>
      <c r="C135" s="85" t="n"/>
      <c r="D135" s="6">
        <f>IFERROR(VLOOKUP($A135,Company_Cat!$C$2:$C$623,1,FALSE),"")</f>
        <v/>
      </c>
    </row>
    <row r="136">
      <c r="A136" s="79" t="inlineStr">
        <is>
          <t>ms Custom shop</t>
        </is>
      </c>
      <c r="B136" s="80" t="n">
        <v>43857</v>
      </c>
      <c r="C136" s="80" t="n"/>
      <c r="D136" s="6">
        <f>IFERROR(VLOOKUP($A136,Company_Cat!$C$2:$C$623,1,FALSE),"")</f>
        <v/>
      </c>
    </row>
    <row r="137">
      <c r="A137" s="81" t="inlineStr">
        <is>
          <t>HWTI</t>
        </is>
      </c>
      <c r="B137" s="80" t="n">
        <v>43845</v>
      </c>
      <c r="C137" s="80" t="n"/>
      <c r="D137" s="6">
        <f>IFERROR(VLOOKUP($A137,Company_Cat!$C$2:$C$623,1,FALSE),"")</f>
        <v/>
      </c>
    </row>
    <row r="138">
      <c r="A138" s="79" t="inlineStr">
        <is>
          <t>ms Nxgen</t>
        </is>
      </c>
      <c r="B138" s="80" t="n">
        <v>43791</v>
      </c>
      <c r="C138" s="80" t="n"/>
      <c r="D138" s="6">
        <f>IFERROR(VLOOKUP($A138,Company_Cat!$C$2:$C$623,1,FALSE),"")</f>
        <v/>
      </c>
    </row>
    <row r="139">
      <c r="A139" s="79" t="inlineStr">
        <is>
          <t>TPSC cc</t>
        </is>
      </c>
      <c r="B139" s="80" t="n">
        <v>43789</v>
      </c>
      <c r="C139" s="85" t="n"/>
      <c r="D139" s="6">
        <f>IFERROR(VLOOKUP($A139,Company_Cat!$C$2:$C$623,1,FALSE),"")</f>
        <v/>
      </c>
    </row>
    <row r="140">
      <c r="A140" s="79" t="inlineStr">
        <is>
          <t>Ice Cube Refrigiration</t>
        </is>
      </c>
      <c r="B140" s="80" t="n">
        <v>43787</v>
      </c>
      <c r="C140" s="85" t="n"/>
      <c r="D140" s="6">
        <f>IFERROR(VLOOKUP($A140,Company_Cat!$C$2:$C$623,1,FALSE),"")</f>
        <v/>
      </c>
    </row>
    <row r="141">
      <c r="A141" s="82" t="inlineStr">
        <is>
          <t>zulu aviation</t>
        </is>
      </c>
      <c r="B141" s="80" t="n">
        <v>43782</v>
      </c>
      <c r="C141" s="85" t="n"/>
      <c r="D141" s="6">
        <f>IFERROR(VLOOKUP($A141,Company_Cat!$C$2:$C$623,1,FALSE),"")</f>
        <v/>
      </c>
    </row>
    <row r="142">
      <c r="A142" s="79" t="inlineStr">
        <is>
          <t>ms Sabertek</t>
        </is>
      </c>
      <c r="B142" s="80" t="n">
        <v>43769</v>
      </c>
      <c r="C142" s="80" t="n"/>
      <c r="D142" s="6">
        <f>IFERROR(VLOOKUP($A142,Company_Cat!$C$2:$C$623,1,FALSE),"")</f>
        <v/>
      </c>
    </row>
    <row r="143">
      <c r="A143" s="79" t="inlineStr">
        <is>
          <t>Dart</t>
        </is>
      </c>
      <c r="B143" s="80" t="n">
        <v>43746</v>
      </c>
      <c r="C143" s="85" t="n"/>
      <c r="D143" s="6">
        <f>IFERROR(VLOOKUP($A143,Company_Cat!$C$2:$C$623,1,FALSE),"")</f>
        <v/>
      </c>
    </row>
    <row r="144">
      <c r="A144" s="81" t="inlineStr">
        <is>
          <t>Precision WDBM ricks</t>
        </is>
      </c>
      <c r="B144" s="80" t="n">
        <v>43726</v>
      </c>
      <c r="C144" s="85" t="n"/>
      <c r="D144" s="6">
        <f>IFERROR(VLOOKUP($A144,Company_Cat!$C$2:$C$623,1,FALSE),"")</f>
        <v/>
      </c>
    </row>
    <row r="145">
      <c r="A145" s="82" t="inlineStr">
        <is>
          <t>twin boats</t>
        </is>
      </c>
      <c r="B145" s="80" t="n">
        <v>43699</v>
      </c>
      <c r="C145" s="85" t="n"/>
      <c r="D145" s="6">
        <f>IFERROR(VLOOKUP($A145,Company_Cat!$C$2:$C$623,1,FALSE),"")</f>
        <v/>
      </c>
    </row>
    <row r="146">
      <c r="A146" s="79" t="inlineStr">
        <is>
          <t>ms Autohaus Angel</t>
        </is>
      </c>
      <c r="B146" s="80" t="n">
        <v>43664</v>
      </c>
      <c r="C146" s="80" t="n"/>
      <c r="D146" s="6">
        <f>IFERROR(VLOOKUP($A146,Company_Cat!$C$2:$C$623,1,FALSE),"")</f>
        <v/>
      </c>
    </row>
    <row r="147">
      <c r="A147" s="79" t="inlineStr">
        <is>
          <t>ms scribante construction</t>
        </is>
      </c>
      <c r="B147" s="80" t="n">
        <v>43614</v>
      </c>
      <c r="C147" s="80" t="n"/>
      <c r="D147" s="6">
        <f>IFERROR(VLOOKUP($A147,Company_Cat!$C$2:$C$623,1,FALSE),"")</f>
        <v/>
      </c>
    </row>
    <row r="148">
      <c r="A148" s="81" t="inlineStr">
        <is>
          <t>ms Wayne Crous Engen Prinshof Motors</t>
        </is>
      </c>
      <c r="B148" s="80" t="n">
        <v>43588</v>
      </c>
      <c r="C148" s="80" t="n"/>
      <c r="D148" s="6">
        <f>IFERROR(VLOOKUP($A148,Company_Cat!$C$2:$C$623,1,FALSE),"")</f>
        <v/>
      </c>
    </row>
    <row r="149">
      <c r="A149" s="81" t="inlineStr">
        <is>
          <t>S.A.Mooney Sales &amp; Service</t>
        </is>
      </c>
      <c r="B149" s="80" t="n">
        <v>43581</v>
      </c>
      <c r="C149" s="80" t="n"/>
      <c r="D149" s="6">
        <f>IFERROR(VLOOKUP($A149,Company_Cat!$C$2:$C$623,1,FALSE),"")</f>
        <v/>
      </c>
    </row>
    <row r="150">
      <c r="A150" s="79" t="inlineStr">
        <is>
          <t>Mosselbaai Helicopters</t>
        </is>
      </c>
      <c r="B150" s="80" t="n">
        <v>43560</v>
      </c>
      <c r="C150" s="85" t="n"/>
      <c r="D150" s="6">
        <f>IFERROR(VLOOKUP($A150,Company_Cat!$C$2:$C$623,1,FALSE),"")</f>
        <v/>
      </c>
    </row>
    <row r="151">
      <c r="A151" s="81" t="inlineStr">
        <is>
          <t>ms da Costa</t>
        </is>
      </c>
      <c r="B151" s="80" t="n">
        <v>43560</v>
      </c>
      <c r="C151" s="85" t="n"/>
      <c r="D151" s="6">
        <f>IFERROR(VLOOKUP($A151,Company_Cat!$C$2:$C$623,1,FALSE),"")</f>
        <v/>
      </c>
    </row>
    <row r="152">
      <c r="A152" s="79" t="inlineStr">
        <is>
          <t>TAM Interiors (Pty) L td</t>
        </is>
      </c>
      <c r="B152" s="80" t="n">
        <v>43536</v>
      </c>
      <c r="C152" s="85" t="n"/>
      <c r="D152" s="6">
        <f>IFERROR(VLOOKUP($A152,Company_Cat!$C$2:$C$623,1,FALSE),"")</f>
        <v/>
      </c>
    </row>
    <row r="153">
      <c r="A153" s="79" t="inlineStr">
        <is>
          <t>ms Piazza Motorsport</t>
        </is>
      </c>
      <c r="B153" s="80" t="n">
        <v>43523</v>
      </c>
      <c r="C153" s="80" t="n"/>
      <c r="D153" s="6">
        <f>IFERROR(VLOOKUP($A153,Company_Cat!$C$2:$C$623,1,FALSE),"")</f>
        <v/>
      </c>
    </row>
    <row r="154">
      <c r="A154" s="79" t="inlineStr">
        <is>
          <t>Afritech Aviation Services</t>
        </is>
      </c>
      <c r="B154" s="80" t="n">
        <v>43515</v>
      </c>
      <c r="C154" s="85" t="n"/>
      <c r="D154" s="6">
        <f>IFERROR(VLOOKUP($A154,Company_Cat!$C$2:$C$623,1,FALSE),"")</f>
        <v/>
      </c>
    </row>
    <row r="155">
      <c r="A155" s="79" t="inlineStr">
        <is>
          <t>ms evolution 2 bmw kay eddie</t>
        </is>
      </c>
      <c r="B155" s="80" t="n">
        <v>43494</v>
      </c>
      <c r="C155" s="80" t="n"/>
      <c r="D155" s="6">
        <f>IFERROR(VLOOKUP($A155,Company_Cat!$C$2:$C$623,1,FALSE),"")</f>
        <v/>
      </c>
    </row>
    <row r="156">
      <c r="A156" s="81" t="inlineStr">
        <is>
          <t>Aeronautical Instrumentation</t>
        </is>
      </c>
      <c r="B156" s="80" t="n">
        <v>43406</v>
      </c>
      <c r="C156" s="85" t="n"/>
      <c r="D156" s="6">
        <f>IFERROR(VLOOKUP($A156,Company_Cat!$C$2:$C$623,1,FALSE),"")</f>
        <v/>
      </c>
    </row>
    <row r="157">
      <c r="A157" s="79" t="inlineStr">
        <is>
          <t>Cobwiil Engineering</t>
        </is>
      </c>
      <c r="B157" s="80" t="n">
        <v>43377</v>
      </c>
      <c r="C157" s="85" t="n"/>
      <c r="D157" s="6">
        <f>IFERROR(VLOOKUP($A157,Company_Cat!$C$2:$C$623,1,FALSE),"")</f>
        <v/>
      </c>
    </row>
    <row r="158">
      <c r="A158" s="79" t="inlineStr">
        <is>
          <t>ms LSP Leisure Industries (Pty) Ltd</t>
        </is>
      </c>
      <c r="B158" s="80" t="n">
        <v>43376</v>
      </c>
      <c r="C158" s="80" t="n"/>
      <c r="D158" s="6">
        <f>IFERROR(VLOOKUP($A158,Company_Cat!$C$2:$C$623,1,FALSE),"")</f>
        <v/>
      </c>
    </row>
    <row r="159">
      <c r="A159" s="79" t="inlineStr">
        <is>
          <t>ms Terry Moss Racing</t>
        </is>
      </c>
      <c r="B159" s="80" t="n">
        <v>43376</v>
      </c>
      <c r="C159" s="85" t="n"/>
      <c r="D159" s="6">
        <f>IFERROR(VLOOKUP($A159,Company_Cat!$C$2:$C$623,1,FALSE),"")</f>
        <v/>
      </c>
    </row>
    <row r="160">
      <c r="A160" s="81" t="inlineStr">
        <is>
          <t>Rolf / Quinton</t>
        </is>
      </c>
      <c r="B160" s="80" t="n">
        <v>43368</v>
      </c>
      <c r="C160" s="85" t="n"/>
      <c r="D160" s="6">
        <f>IFERROR(VLOOKUP($A160,Company_Cat!$C$2:$C$623,1,FALSE),"")</f>
        <v/>
      </c>
    </row>
    <row r="161">
      <c r="A161" s="81" t="inlineStr">
        <is>
          <t>Botswana Flying Mission Services Pty Ltd</t>
        </is>
      </c>
      <c r="B161" s="80" t="n">
        <v>43342</v>
      </c>
      <c r="C161" s="85" t="n"/>
      <c r="D161" s="6">
        <f>IFERROR(VLOOKUP($A161,Company_Cat!$C$2:$C$623,1,FALSE),"")</f>
        <v/>
      </c>
    </row>
    <row r="162">
      <c r="A162" s="81" t="inlineStr">
        <is>
          <t>ms Carello Auto</t>
        </is>
      </c>
      <c r="B162" s="80" t="n">
        <v>43308</v>
      </c>
      <c r="C162" s="80" t="n"/>
      <c r="D162" s="6">
        <f>IFERROR(VLOOKUP($A162,Company_Cat!$C$2:$C$623,1,FALSE),"")</f>
        <v/>
      </c>
    </row>
    <row r="163">
      <c r="A163" s="79" t="inlineStr">
        <is>
          <t>Central AMO</t>
        </is>
      </c>
      <c r="B163" s="80" t="n">
        <v>43294</v>
      </c>
      <c r="C163" s="85" t="n"/>
      <c r="D163" s="6">
        <f>IFERROR(VLOOKUP($A163,Company_Cat!$C$2:$C$623,1,FALSE),"")</f>
        <v/>
      </c>
    </row>
    <row r="164">
      <c r="A164" s="81" t="inlineStr">
        <is>
          <t>Carleton Fridgelec</t>
        </is>
      </c>
      <c r="B164" s="80" t="n">
        <v>43293</v>
      </c>
      <c r="C164" s="85" t="n"/>
      <c r="D164" s="6">
        <f>IFERROR(VLOOKUP($A164,Company_Cat!$C$2:$C$623,1,FALSE),"")</f>
        <v/>
      </c>
    </row>
    <row r="165">
      <c r="A165" s="79" t="inlineStr">
        <is>
          <t>Ricky Concalves</t>
        </is>
      </c>
      <c r="B165" s="80" t="n">
        <v>43228</v>
      </c>
      <c r="C165" s="85" t="n"/>
      <c r="D165" s="6">
        <f>IFERROR(VLOOKUP($A165,Company_Cat!$C$2:$C$623,1,FALSE),"")</f>
        <v/>
      </c>
    </row>
    <row r="166">
      <c r="A166" s="81" t="inlineStr">
        <is>
          <t>Otto Solar</t>
        </is>
      </c>
      <c r="B166" s="80" t="n">
        <v>43208</v>
      </c>
      <c r="C166" s="85" t="n"/>
      <c r="D166" s="6">
        <f>IFERROR(VLOOKUP($A166,Company_Cat!$C$2:$C$623,1,FALSE),"")</f>
        <v/>
      </c>
    </row>
    <row r="167">
      <c r="A167" s="79" t="inlineStr">
        <is>
          <t>ms Vic Maharaj</t>
        </is>
      </c>
      <c r="B167" s="80" t="n">
        <v>43200</v>
      </c>
      <c r="C167" s="80" t="n"/>
      <c r="D167" s="6">
        <f>IFERROR(VLOOKUP($A167,Company_Cat!$C$2:$C$623,1,FALSE),"")</f>
        <v/>
      </c>
    </row>
    <row r="168">
      <c r="A168" s="79" t="inlineStr">
        <is>
          <t>ms Comsol</t>
        </is>
      </c>
      <c r="B168" s="80" t="n">
        <v>43180</v>
      </c>
      <c r="C168" s="80" t="n"/>
      <c r="D168" s="6">
        <f>IFERROR(VLOOKUP($A168,Company_Cat!$C$2:$C$623,1,FALSE),"")</f>
        <v/>
      </c>
    </row>
    <row r="169">
      <c r="A169" s="81" t="inlineStr">
        <is>
          <t>Avex</t>
        </is>
      </c>
      <c r="B169" s="80" t="n">
        <v>43117</v>
      </c>
      <c r="C169" s="85" t="n"/>
      <c r="D169" s="6">
        <f>IFERROR(VLOOKUP($A169,Company_Cat!$C$2:$C$623,1,FALSE),"")</f>
        <v/>
      </c>
    </row>
    <row r="170">
      <c r="A170" s="79" t="inlineStr">
        <is>
          <t>ms gtclubsport</t>
        </is>
      </c>
      <c r="B170" s="80" t="n">
        <v>43082</v>
      </c>
      <c r="C170" s="80" t="n"/>
      <c r="D170" s="6">
        <f>IFERROR(VLOOKUP($A170,Company_Cat!$C$2:$C$623,1,FALSE),"")</f>
        <v/>
      </c>
    </row>
    <row r="171">
      <c r="A171" s="81" t="inlineStr">
        <is>
          <t>ms Kimba Consulting cc</t>
        </is>
      </c>
      <c r="B171" s="80" t="n">
        <v>43070</v>
      </c>
      <c r="C171" s="80" t="n"/>
      <c r="D171" s="6">
        <f>IFERROR(VLOOKUP($A171,Company_Cat!$C$2:$C$623,1,FALSE),"")</f>
        <v/>
      </c>
    </row>
    <row r="172">
      <c r="A172" s="79" t="inlineStr">
        <is>
          <t>Placo</t>
        </is>
      </c>
      <c r="B172" s="80" t="n">
        <v>43070</v>
      </c>
      <c r="C172" s="85" t="n"/>
      <c r="D172" s="6">
        <f>IFERROR(VLOOKUP($A172,Company_Cat!$C$2:$C$623,1,FALSE),"")</f>
        <v/>
      </c>
    </row>
    <row r="173">
      <c r="A173" s="81" t="inlineStr">
        <is>
          <t>Kevin MacNeill</t>
        </is>
      </c>
      <c r="B173" s="80" t="n">
        <v>43034</v>
      </c>
      <c r="C173" s="85" t="n"/>
      <c r="D173" s="6">
        <f>IFERROR(VLOOKUP($A173,Company_Cat!$C$2:$C$623,1,FALSE),"")</f>
        <v/>
      </c>
    </row>
    <row r="174">
      <c r="A174" s="81" t="inlineStr">
        <is>
          <t>Epsilon Eng</t>
        </is>
      </c>
      <c r="B174" s="80" t="n">
        <v>43012</v>
      </c>
      <c r="C174" s="85" t="n"/>
      <c r="D174" s="6">
        <f>IFERROR(VLOOKUP($A174,Company_Cat!$C$2:$C$623,1,FALSE),"")</f>
        <v/>
      </c>
    </row>
    <row r="175">
      <c r="A175" s="79" t="inlineStr">
        <is>
          <t>ms RED-LINED cc</t>
        </is>
      </c>
      <c r="B175" s="80" t="n">
        <v>42978</v>
      </c>
      <c r="C175" s="80" t="n"/>
      <c r="D175" s="6">
        <f>IFERROR(VLOOKUP($A175,Company_Cat!$C$2:$C$623,1,FALSE),"")</f>
        <v/>
      </c>
    </row>
    <row r="176">
      <c r="A176" s="79" t="inlineStr">
        <is>
          <t>Guardian Air (PTY) Ltd.</t>
        </is>
      </c>
      <c r="B176" s="80" t="n">
        <v>42942</v>
      </c>
      <c r="C176" s="85" t="n"/>
      <c r="D176" s="6">
        <f>IFERROR(VLOOKUP($A176,Company_Cat!$C$2:$C$623,1,FALSE),"")</f>
        <v/>
      </c>
    </row>
    <row r="177">
      <c r="A177" s="79" t="inlineStr">
        <is>
          <t>DAMAR</t>
        </is>
      </c>
      <c r="B177" s="80" t="n">
        <v>42908</v>
      </c>
      <c r="C177" s="85" t="n"/>
      <c r="D177" s="6">
        <f>IFERROR(VLOOKUP($A177,Company_Cat!$C$2:$C$623,1,FALSE),"")</f>
        <v/>
      </c>
    </row>
    <row r="178">
      <c r="A178" s="79" t="inlineStr">
        <is>
          <t>Hendrik Venter</t>
        </is>
      </c>
      <c r="B178" s="80" t="n">
        <v>42857</v>
      </c>
      <c r="C178" s="85" t="n"/>
      <c r="D178" s="6">
        <f>IFERROR(VLOOKUP($A178,Company_Cat!$C$2:$C$623,1,FALSE),"")</f>
        <v/>
      </c>
    </row>
    <row r="179">
      <c r="A179" s="79" t="inlineStr">
        <is>
          <t>ms PRD Racing Devon</t>
        </is>
      </c>
      <c r="B179" s="80" t="n">
        <v>42835</v>
      </c>
      <c r="C179" s="80" t="n"/>
      <c r="D179" s="6">
        <f>IFERROR(VLOOKUP($A179,Company_Cat!$C$2:$C$623,1,FALSE),"")</f>
        <v/>
      </c>
    </row>
    <row r="180">
      <c r="A180" s="79" t="inlineStr">
        <is>
          <t>Sky Africa Karl</t>
        </is>
      </c>
      <c r="B180" s="80" t="n">
        <v>42832</v>
      </c>
      <c r="C180" s="85" t="n"/>
      <c r="D180" s="6">
        <f>IFERROR(VLOOKUP($A180,Company_Cat!$C$2:$C$623,1,FALSE),"")</f>
        <v/>
      </c>
    </row>
    <row r="181">
      <c r="A181" s="79" t="inlineStr">
        <is>
          <t>North West Airconditioning</t>
        </is>
      </c>
      <c r="B181" s="80" t="n">
        <v>42831</v>
      </c>
      <c r="C181" s="85" t="n"/>
      <c r="D181" s="6">
        <f>IFERROR(VLOOKUP($A181,Company_Cat!$C$2:$C$623,1,FALSE),"")</f>
        <v/>
      </c>
    </row>
    <row r="182">
      <c r="A182" s="82" t="inlineStr">
        <is>
          <t>True North Aviation</t>
        </is>
      </c>
      <c r="B182" s="80" t="n">
        <v>42829</v>
      </c>
      <c r="C182" s="85" t="n"/>
      <c r="D182" s="6">
        <f>IFERROR(VLOOKUP($A182,Company_Cat!$C$2:$C$623,1,FALSE),"")</f>
        <v/>
      </c>
    </row>
    <row r="183">
      <c r="A183" s="81" t="inlineStr">
        <is>
          <t>FTS</t>
        </is>
      </c>
      <c r="B183" s="80" t="n">
        <v>42795</v>
      </c>
      <c r="C183" s="85" t="n"/>
      <c r="D183" s="6">
        <f>IFERROR(VLOOKUP($A183,Company_Cat!$C$2:$C$623,1,FALSE),"")</f>
        <v/>
      </c>
    </row>
    <row r="184">
      <c r="A184" s="79" t="inlineStr">
        <is>
          <t>Hover Dynamics</t>
        </is>
      </c>
      <c r="B184" s="80" t="n">
        <v>42795</v>
      </c>
      <c r="C184" s="80" t="n"/>
      <c r="D184" s="6">
        <f>IFERROR(VLOOKUP($A184,Company_Cat!$C$2:$C$623,1,FALSE),"")</f>
        <v/>
      </c>
    </row>
    <row r="185">
      <c r="A185" s="81" t="inlineStr">
        <is>
          <t>ms Vaal Fuid Systems</t>
        </is>
      </c>
      <c r="B185" s="80" t="n">
        <v>42775</v>
      </c>
      <c r="C185" s="80" t="n"/>
      <c r="D185" s="6">
        <f>IFERROR(VLOOKUP($A185,Company_Cat!$C$2:$C$623,1,FALSE),"")</f>
        <v/>
      </c>
    </row>
    <row r="186">
      <c r="A186" s="81" t="inlineStr">
        <is>
          <t>Raw Aviation</t>
        </is>
      </c>
      <c r="B186" s="80" t="n">
        <v>42718</v>
      </c>
      <c r="C186" s="80" t="n"/>
      <c r="D186" s="6">
        <f>IFERROR(VLOOKUP($A186,Company_Cat!$C$2:$C$623,1,FALSE),"")</f>
        <v/>
      </c>
    </row>
    <row r="187">
      <c r="A187" s="81" t="inlineStr">
        <is>
          <t>Hover Dynamics Mpumalanga</t>
        </is>
      </c>
      <c r="B187" s="80" t="n">
        <v>42712</v>
      </c>
      <c r="C187" s="80" t="n"/>
      <c r="D187" s="6">
        <f>IFERROR(VLOOKUP($A187,Company_Cat!$C$2:$C$623,1,FALSE),"")</f>
        <v/>
      </c>
    </row>
    <row r="188">
      <c r="A188" s="79" t="inlineStr">
        <is>
          <t>Absolute Parts</t>
        </is>
      </c>
      <c r="B188" s="80" t="n">
        <v>42654</v>
      </c>
      <c r="C188" s="85" t="n"/>
      <c r="D188" s="6">
        <f>IFERROR(VLOOKUP($A188,Company_Cat!$C$2:$C$623,1,FALSE),"")</f>
        <v/>
      </c>
    </row>
    <row r="189">
      <c r="A189" s="79" t="inlineStr">
        <is>
          <t>Shane Hemingways</t>
        </is>
      </c>
      <c r="B189" s="80" t="n">
        <v>42597</v>
      </c>
      <c r="C189" s="85" t="n"/>
      <c r="D189" s="6">
        <f>IFERROR(VLOOKUP($A189,Company_Cat!$C$2:$C$623,1,FALSE),"")</f>
        <v/>
      </c>
    </row>
    <row r="190">
      <c r="A190" s="81" t="inlineStr">
        <is>
          <t>ms Azoic</t>
        </is>
      </c>
      <c r="B190" s="80" t="n">
        <v>42563</v>
      </c>
      <c r="C190" s="80" t="n"/>
      <c r="D190" s="6">
        <f>IFERROR(VLOOKUP($A190,Company_Cat!$C$2:$C$623,1,FALSE),"")</f>
        <v/>
      </c>
    </row>
    <row r="191">
      <c r="A191" s="79" t="inlineStr">
        <is>
          <t>ms Hansie Thermamasta</t>
        </is>
      </c>
      <c r="B191" s="80" t="n">
        <v>42542</v>
      </c>
      <c r="C191" s="85" t="n"/>
      <c r="D191" s="6">
        <f>IFERROR(VLOOKUP($A191,Company_Cat!$C$2:$C$623,1,FALSE),"")</f>
        <v/>
      </c>
    </row>
    <row r="192">
      <c r="A192" s="82" t="inlineStr">
        <is>
          <t>Bob Verwey</t>
        </is>
      </c>
      <c r="B192" s="83" t="n">
        <v>42499</v>
      </c>
      <c r="C192" s="86" t="n"/>
      <c r="D192" s="6">
        <f>IFERROR(VLOOKUP($A192,Company_Cat!$C$2:$C$623,1,FALSE),"")</f>
        <v/>
      </c>
    </row>
    <row r="193">
      <c r="A193" s="81" t="inlineStr">
        <is>
          <t>Magalies Gliding Club</t>
        </is>
      </c>
      <c r="B193" s="80" t="n">
        <v>42496</v>
      </c>
      <c r="C193" s="85" t="n"/>
      <c r="D193" s="6">
        <f>IFERROR(VLOOKUP($A193,Company_Cat!$C$2:$C$623,1,FALSE),"")</f>
        <v/>
      </c>
    </row>
    <row r="194">
      <c r="A194" s="79" t="inlineStr">
        <is>
          <t>Sky Sprayers Riaan Secunda</t>
        </is>
      </c>
      <c r="B194" s="80" t="n">
        <v>42496</v>
      </c>
      <c r="C194" s="85" t="n"/>
      <c r="D194" s="6">
        <f>IFERROR(VLOOKUP($A194,Company_Cat!$C$2:$C$623,1,FALSE),"")</f>
        <v/>
      </c>
    </row>
    <row r="195">
      <c r="A195" s="79" t="inlineStr">
        <is>
          <t>Skytech</t>
        </is>
      </c>
      <c r="B195" s="80" t="n">
        <v>42485</v>
      </c>
      <c r="C195" s="80" t="n"/>
      <c r="D195" s="6">
        <f>IFERROR(VLOOKUP($A195,Company_Cat!$C$2:$C$623,1,FALSE),"")</f>
        <v/>
      </c>
    </row>
    <row r="196">
      <c r="A196" s="81" t="inlineStr">
        <is>
          <t>Heli Afrique</t>
        </is>
      </c>
      <c r="B196" s="80" t="n">
        <v>42473</v>
      </c>
      <c r="C196" s="80" t="n"/>
      <c r="D196" s="6">
        <f>IFERROR(VLOOKUP($A196,Company_Cat!$C$2:$C$623,1,FALSE),"")</f>
        <v/>
      </c>
    </row>
    <row r="197">
      <c r="A197" s="79" t="inlineStr">
        <is>
          <t>Jupiter Signs</t>
        </is>
      </c>
      <c r="B197" s="80" t="n">
        <v>42381</v>
      </c>
      <c r="C197" s="85" t="n"/>
      <c r="D197" s="6">
        <f>IFERROR(VLOOKUP($A197,Company_Cat!$C$2:$C$623,1,FALSE),"")</f>
        <v/>
      </c>
    </row>
    <row r="198">
      <c r="A198" s="81" t="inlineStr">
        <is>
          <t>Solenta Aviation</t>
        </is>
      </c>
      <c r="B198" s="80" t="n">
        <v>42376</v>
      </c>
      <c r="C198" s="85" t="n"/>
      <c r="D198" s="6">
        <f>IFERROR(VLOOKUP($A198,Company_Cat!$C$2:$C$623,1,FALSE),"")</f>
        <v/>
      </c>
    </row>
    <row r="199">
      <c r="A199" s="81" t="inlineStr">
        <is>
          <t>Bevrick</t>
        </is>
      </c>
      <c r="B199" s="80" t="n">
        <v>42345</v>
      </c>
      <c r="C199" s="85" t="n"/>
      <c r="D199" s="6">
        <f>IFERROR(VLOOKUP($A199,Company_Cat!$C$2:$C$623,1,FALSE),"")</f>
        <v/>
      </c>
    </row>
    <row r="200">
      <c r="A200" s="79" t="inlineStr">
        <is>
          <t>Anthony Jones</t>
        </is>
      </c>
      <c r="B200" s="80" t="n">
        <v>42341</v>
      </c>
      <c r="C200" s="85" t="n"/>
      <c r="D200" s="6">
        <f>IFERROR(VLOOKUP($A200,Company_Cat!$C$2:$C$623,1,FALSE),"")</f>
        <v/>
      </c>
    </row>
    <row r="201">
      <c r="A201" s="81" t="inlineStr">
        <is>
          <t>ian greenwood</t>
        </is>
      </c>
      <c r="B201" s="80" t="n">
        <v>42303</v>
      </c>
      <c r="C201" s="85" t="n"/>
      <c r="D201" s="6">
        <f>IFERROR(VLOOKUP($A201,Company_Cat!$C$2:$C$623,1,FALSE),"")</f>
        <v/>
      </c>
    </row>
    <row r="202">
      <c r="A202" s="81" t="inlineStr">
        <is>
          <t>Absolute Service Centre</t>
        </is>
      </c>
      <c r="B202" s="80" t="n">
        <v>42247</v>
      </c>
      <c r="C202" s="80" t="n"/>
      <c r="D202" s="6">
        <f>IFERROR(VLOOKUP($A202,Company_Cat!$C$2:$C$623,1,FALSE),"")</f>
        <v/>
      </c>
    </row>
    <row r="203">
      <c r="A203" s="81" t="inlineStr">
        <is>
          <t>W de W</t>
        </is>
      </c>
      <c r="B203" s="80" t="n">
        <v>42193</v>
      </c>
      <c r="C203" s="85" t="n"/>
      <c r="D203" s="6">
        <f>IFERROR(VLOOKUP($A203,Company_Cat!$C$2:$C$623,1,FALSE),"")</f>
        <v/>
      </c>
    </row>
    <row r="204">
      <c r="A204" s="79" t="inlineStr">
        <is>
          <t>Watersport Unlimited</t>
        </is>
      </c>
      <c r="B204" s="80" t="n">
        <v>42179</v>
      </c>
      <c r="C204" s="85" t="n"/>
      <c r="D204" s="6">
        <f>IFERROR(VLOOKUP($A204,Company_Cat!$C$2:$C$623,1,FALSE),"")</f>
        <v/>
      </c>
    </row>
    <row r="205">
      <c r="A205" s="79" t="inlineStr">
        <is>
          <t>exclusive conversions</t>
        </is>
      </c>
      <c r="B205" s="80" t="n">
        <v>42177</v>
      </c>
      <c r="C205" s="85" t="n"/>
      <c r="D205" s="6">
        <f>IFERROR(VLOOKUP($A205,Company_Cat!$C$2:$C$623,1,FALSE),"")</f>
        <v/>
      </c>
    </row>
    <row r="206">
      <c r="A206" s="81" t="inlineStr">
        <is>
          <t>Rocco Pretorius</t>
        </is>
      </c>
      <c r="B206" s="80" t="n">
        <v>42110</v>
      </c>
      <c r="C206" s="85" t="n"/>
      <c r="D206" s="6">
        <f>IFERROR(VLOOKUP($A206,Company_Cat!$C$2:$C$623,1,FALSE),"")</f>
        <v/>
      </c>
    </row>
    <row r="207">
      <c r="A207" s="81" t="inlineStr">
        <is>
          <t>Berg Flying</t>
        </is>
      </c>
      <c r="B207" s="80" t="n">
        <v>42107</v>
      </c>
      <c r="C207" s="85" t="n"/>
      <c r="D207" s="6">
        <f>IFERROR(VLOOKUP($A207,Company_Cat!$C$2:$C$623,1,FALSE),"")</f>
        <v/>
      </c>
    </row>
    <row r="208">
      <c r="A208" s="81" t="inlineStr">
        <is>
          <t>ms Gawie Marais</t>
        </is>
      </c>
      <c r="B208" s="80" t="n">
        <v>42089</v>
      </c>
      <c r="C208" s="80" t="n"/>
      <c r="D208" s="6">
        <f>IFERROR(VLOOKUP($A208,Company_Cat!$C$2:$C$623,1,FALSE),"")</f>
        <v/>
      </c>
    </row>
    <row r="209">
      <c r="A209" s="81" t="inlineStr">
        <is>
          <t>Master Aviation</t>
        </is>
      </c>
      <c r="B209" s="80" t="n">
        <v>42051</v>
      </c>
      <c r="C209" s="85" t="n"/>
      <c r="D209" s="6">
        <f>IFERROR(VLOOKUP($A209,Company_Cat!$C$2:$C$623,1,FALSE),"")</f>
        <v/>
      </c>
    </row>
    <row r="210">
      <c r="A210" s="79" t="inlineStr">
        <is>
          <t>Hannes Maree</t>
        </is>
      </c>
      <c r="B210" s="80" t="n">
        <v>42034</v>
      </c>
      <c r="C210" s="85" t="n"/>
      <c r="D210" s="6">
        <f>IFERROR(VLOOKUP($A210,Company_Cat!$C$2:$C$623,1,FALSE),"")</f>
        <v/>
      </c>
    </row>
    <row r="211">
      <c r="A211" s="81" t="inlineStr">
        <is>
          <t>ms Alpha Romeo Trevor Tuck</t>
        </is>
      </c>
      <c r="B211" s="80" t="n">
        <v>42032</v>
      </c>
      <c r="C211" s="80" t="n"/>
      <c r="D211" s="6">
        <f>IFERROR(VLOOKUP($A211,Company_Cat!$C$2:$C$623,1,FALSE),"")</f>
        <v/>
      </c>
    </row>
    <row r="212">
      <c r="A212" s="79" t="inlineStr">
        <is>
          <t>ms george smalberger</t>
        </is>
      </c>
      <c r="B212" s="80" t="n">
        <v>42025</v>
      </c>
      <c r="C212" s="80" t="n"/>
      <c r="D212" s="6">
        <f>IFERROR(VLOOKUP($A212,Company_Cat!$C$2:$C$623,1,FALSE),"")</f>
        <v/>
      </c>
    </row>
    <row r="213">
      <c r="A213" s="79" t="inlineStr">
        <is>
          <t>ms Roelf vd Merwe</t>
        </is>
      </c>
      <c r="B213" s="80" t="n">
        <v>42018</v>
      </c>
      <c r="C213" s="80" t="n"/>
      <c r="D213" s="6">
        <f>IFERROR(VLOOKUP($A213,Company_Cat!$C$2:$C$623,1,FALSE),"")</f>
        <v/>
      </c>
    </row>
    <row r="214">
      <c r="A214" s="81" t="inlineStr">
        <is>
          <t>ms goldwagen Chico</t>
        </is>
      </c>
      <c r="B214" s="80" t="n">
        <v>41984</v>
      </c>
      <c r="C214" s="80" t="n"/>
      <c r="D214" s="6">
        <f>IFERROR(VLOOKUP($A214,Company_Cat!$C$2:$C$623,1,FALSE),"")</f>
        <v/>
      </c>
    </row>
    <row r="215">
      <c r="A215" s="79" t="inlineStr">
        <is>
          <t>BC Air</t>
        </is>
      </c>
      <c r="B215" s="80" t="n">
        <v>41935</v>
      </c>
      <c r="C215" s="85" t="n"/>
      <c r="D215" s="6">
        <f>IFERROR(VLOOKUP($A215,Company_Cat!$C$2:$C$623,1,FALSE),"")</f>
        <v/>
      </c>
    </row>
    <row r="216">
      <c r="A216" s="79" t="inlineStr">
        <is>
          <t>ms Mayer Projects</t>
        </is>
      </c>
      <c r="B216" s="80" t="n">
        <v>41892</v>
      </c>
      <c r="C216" s="80" t="n"/>
      <c r="D216" s="6">
        <f>IFERROR(VLOOKUP($A216,Company_Cat!$C$2:$C$623,1,FALSE),"")</f>
        <v/>
      </c>
    </row>
    <row r="217">
      <c r="A217" s="79" t="inlineStr">
        <is>
          <t>ms Malalane Toyota</t>
        </is>
      </c>
      <c r="B217" s="80" t="n">
        <v>41883</v>
      </c>
      <c r="C217" s="80" t="n"/>
      <c r="D217" s="6">
        <f>IFERROR(VLOOKUP($A217,Company_Cat!$C$2:$C$623,1,FALSE),"")</f>
        <v/>
      </c>
    </row>
    <row r="218">
      <c r="A218" s="79" t="inlineStr">
        <is>
          <t>Potch Marine</t>
        </is>
      </c>
      <c r="B218" s="80" t="n">
        <v>41866</v>
      </c>
      <c r="C218" s="85" t="n"/>
      <c r="D218" s="6">
        <f>IFERROR(VLOOKUP($A218,Company_Cat!$C$2:$C$623,1,FALSE),"")</f>
        <v/>
      </c>
    </row>
    <row r="219">
      <c r="A219" s="81" t="inlineStr">
        <is>
          <t>Riaan Woest</t>
        </is>
      </c>
      <c r="B219" s="80" t="n">
        <v>41850</v>
      </c>
      <c r="C219" s="85" t="n"/>
      <c r="D219" s="6">
        <f>IFERROR(VLOOKUP($A219,Company_Cat!$C$2:$C$623,1,FALSE),"")</f>
        <v/>
      </c>
    </row>
    <row r="220">
      <c r="A220" s="79" t="inlineStr">
        <is>
          <t>ms Sportech</t>
        </is>
      </c>
      <c r="B220" s="80" t="n">
        <v>41814</v>
      </c>
      <c r="C220" s="80" t="n"/>
      <c r="D220" s="6">
        <f>IFERROR(VLOOKUP($A220,Company_Cat!$C$2:$C$623,1,FALSE),"")</f>
        <v/>
      </c>
    </row>
    <row r="221">
      <c r="A221" s="81" t="inlineStr">
        <is>
          <t>Centennial Trading Company 4</t>
        </is>
      </c>
      <c r="B221" s="80" t="n">
        <v>41786</v>
      </c>
      <c r="C221" s="85" t="n"/>
      <c r="D221" s="6">
        <f>IFERROR(VLOOKUP($A221,Company_Cat!$C$2:$C$623,1,FALSE),"")</f>
        <v/>
      </c>
    </row>
    <row r="222">
      <c r="A222" s="81" t="inlineStr">
        <is>
          <t>African Consulting Surveyors</t>
        </is>
      </c>
      <c r="B222" s="80" t="n">
        <v>41718</v>
      </c>
      <c r="C222" s="85" t="n"/>
      <c r="D222" s="6">
        <f>IFERROR(VLOOKUP($A222,Company_Cat!$C$2:$C$623,1,FALSE),"")</f>
        <v/>
      </c>
    </row>
    <row r="223">
      <c r="A223" s="79" t="inlineStr">
        <is>
          <t>ms Auto Associates</t>
        </is>
      </c>
      <c r="B223" s="80" t="n">
        <v>41705</v>
      </c>
      <c r="C223" s="80" t="n"/>
      <c r="D223" s="6">
        <f>IFERROR(VLOOKUP($A223,Company_Cat!$C$2:$C$623,1,FALSE),"")</f>
        <v/>
      </c>
    </row>
    <row r="224">
      <c r="A224" s="79" t="inlineStr">
        <is>
          <t>ms VW Racing</t>
        </is>
      </c>
      <c r="B224" s="80" t="n">
        <v>41705</v>
      </c>
      <c r="C224" s="85" t="n"/>
      <c r="D224" s="6">
        <f>IFERROR(VLOOKUP($A224,Company_Cat!$C$2:$C$623,1,FALSE),"")</f>
        <v/>
      </c>
    </row>
    <row r="225">
      <c r="A225" s="81" t="inlineStr">
        <is>
          <t>ms Ford Janus</t>
        </is>
      </c>
      <c r="B225" s="80" t="n">
        <v>41688</v>
      </c>
      <c r="C225" s="80" t="n"/>
      <c r="D225" s="6">
        <f>IFERROR(VLOOKUP($A225,Company_Cat!$C$2:$C$623,1,FALSE),"")</f>
        <v/>
      </c>
    </row>
    <row r="226">
      <c r="A226" s="81" t="inlineStr">
        <is>
          <t>Michael Jamison</t>
        </is>
      </c>
      <c r="B226" s="80" t="n">
        <v>41681</v>
      </c>
      <c r="C226" s="85" t="n"/>
      <c r="D226" s="6">
        <f>IFERROR(VLOOKUP($A226,Company_Cat!$C$2:$C$623,1,FALSE),"")</f>
        <v/>
      </c>
    </row>
    <row r="227">
      <c r="A227" s="81" t="inlineStr">
        <is>
          <t>alclad</t>
        </is>
      </c>
      <c r="B227" s="80" t="n">
        <v>41674</v>
      </c>
      <c r="C227" s="85" t="n"/>
      <c r="D227" s="6">
        <f>IFERROR(VLOOKUP($A227,Company_Cat!$C$2:$C$623,1,FALSE),"")</f>
        <v/>
      </c>
    </row>
    <row r="228">
      <c r="A228" s="81" t="inlineStr">
        <is>
          <t>ms Manrepco</t>
        </is>
      </c>
      <c r="B228" s="80" t="n">
        <v>41655</v>
      </c>
      <c r="C228" s="80" t="n"/>
      <c r="D228" s="6">
        <f>IFERROR(VLOOKUP($A228,Company_Cat!$C$2:$C$623,1,FALSE),"")</f>
        <v/>
      </c>
    </row>
    <row r="229">
      <c r="A229" s="79" t="inlineStr">
        <is>
          <t>King Air Services</t>
        </is>
      </c>
      <c r="B229" s="80" t="n">
        <v>41617</v>
      </c>
      <c r="C229" s="85" t="n"/>
      <c r="D229" s="6">
        <f>IFERROR(VLOOKUP($A229,Company_Cat!$C$2:$C$623,1,FALSE),"")</f>
        <v/>
      </c>
    </row>
    <row r="230">
      <c r="A230" s="81" t="inlineStr">
        <is>
          <t>Johan Loubser</t>
        </is>
      </c>
      <c r="B230" s="80" t="n">
        <v>41613</v>
      </c>
      <c r="C230" s="85" t="n"/>
      <c r="D230" s="6">
        <f>IFERROR(VLOOKUP($A230,Company_Cat!$C$2:$C$623,1,FALSE),"")</f>
        <v/>
      </c>
    </row>
    <row r="231">
      <c r="A231" s="79" t="inlineStr">
        <is>
          <t>NRG</t>
        </is>
      </c>
      <c r="B231" s="80" t="n">
        <v>41613</v>
      </c>
      <c r="C231" s="85" t="n"/>
      <c r="D231" s="6">
        <f>IFERROR(VLOOKUP($A231,Company_Cat!$C$2:$C$623,1,FALSE),"")</f>
        <v/>
      </c>
    </row>
    <row r="232">
      <c r="A232" s="79" t="inlineStr">
        <is>
          <t>PC  Volschenk Trust</t>
        </is>
      </c>
      <c r="B232" s="80" t="n">
        <v>41598</v>
      </c>
      <c r="C232" s="85" t="n"/>
      <c r="D232" s="6">
        <f>IFERROR(VLOOKUP($A232,Company_Cat!$C$2:$C$623,1,FALSE),"")</f>
        <v/>
      </c>
    </row>
    <row r="233">
      <c r="A233" s="81" t="inlineStr">
        <is>
          <t>Denel Dynamics</t>
        </is>
      </c>
      <c r="B233" s="80" t="n">
        <v>41593</v>
      </c>
      <c r="C233" s="85" t="n"/>
      <c r="D233" s="6">
        <f>IFERROR(VLOOKUP($A233,Company_Cat!$C$2:$C$623,1,FALSE),"")</f>
        <v/>
      </c>
    </row>
    <row r="234">
      <c r="A234" s="79" t="inlineStr">
        <is>
          <t>Richard Adelson</t>
        </is>
      </c>
      <c r="B234" s="80" t="n">
        <v>41590</v>
      </c>
      <c r="C234" s="85" t="n"/>
      <c r="D234" s="6">
        <f>IFERROR(VLOOKUP($A234,Company_Cat!$C$2:$C$623,1,FALSE),"")</f>
        <v/>
      </c>
    </row>
    <row r="235">
      <c r="A235" s="82" t="inlineStr">
        <is>
          <t>Abri v Vuuren</t>
        </is>
      </c>
      <c r="B235" s="83" t="n">
        <v>41582</v>
      </c>
      <c r="C235" s="86" t="n"/>
      <c r="D235" s="6">
        <f>IFERROR(VLOOKUP($A235,Company_Cat!$C$2:$C$623,1,FALSE),"")</f>
        <v/>
      </c>
    </row>
    <row r="236">
      <c r="A236" s="81" t="inlineStr">
        <is>
          <t>Sahara African Aviation</t>
        </is>
      </c>
      <c r="B236" s="80" t="n">
        <v>41578</v>
      </c>
      <c r="C236" s="80" t="n"/>
      <c r="D236" s="6">
        <f>IFERROR(VLOOKUP($A236,Company_Cat!$C$2:$C$623,1,FALSE),"")</f>
        <v/>
      </c>
    </row>
    <row r="237">
      <c r="A237" s="81" t="inlineStr">
        <is>
          <t>ms AutoCom</t>
        </is>
      </c>
      <c r="B237" s="80" t="n">
        <v>41574</v>
      </c>
      <c r="C237" s="80" t="n"/>
      <c r="D237" s="6">
        <f>IFERROR(VLOOKUP($A237,Company_Cat!$C$2:$C$623,1,FALSE),"")</f>
        <v/>
      </c>
    </row>
    <row r="238">
      <c r="A238" s="81" t="inlineStr">
        <is>
          <t>ms Abbot Cars</t>
        </is>
      </c>
      <c r="B238" s="80" t="n">
        <v>41568</v>
      </c>
      <c r="C238" s="80" t="n"/>
      <c r="D238" s="6">
        <f>IFERROR(VLOOKUP($A238,Company_Cat!$C$2:$C$623,1,FALSE),"")</f>
        <v/>
      </c>
    </row>
    <row r="239">
      <c r="A239" s="79" t="inlineStr">
        <is>
          <t>Acadamy Air Charl Truter</t>
        </is>
      </c>
      <c r="B239" s="80" t="n">
        <v>41550</v>
      </c>
      <c r="C239" s="80" t="n"/>
      <c r="D239" s="6">
        <f>IFERROR(VLOOKUP($A239,Company_Cat!$C$2:$C$623,1,FALSE),"")</f>
        <v/>
      </c>
    </row>
    <row r="240">
      <c r="A240" s="81" t="inlineStr">
        <is>
          <t>Halo Aviation</t>
        </is>
      </c>
      <c r="B240" s="80" t="n">
        <v>41537</v>
      </c>
      <c r="C240" s="85" t="n"/>
      <c r="D240" s="6">
        <f>IFERROR(VLOOKUP($A240,Company_Cat!$C$2:$C$623,1,FALSE),"")</f>
        <v/>
      </c>
    </row>
    <row r="241">
      <c r="A241" s="79" t="inlineStr">
        <is>
          <t>ms C3 ferrari</t>
        </is>
      </c>
      <c r="B241" s="80" t="n">
        <v>41529</v>
      </c>
      <c r="C241" s="80" t="n"/>
      <c r="D241" s="6">
        <f>IFERROR(VLOOKUP($A241,Company_Cat!$C$2:$C$623,1,FALSE),"")</f>
        <v/>
      </c>
    </row>
    <row r="242">
      <c r="A242" s="79" t="inlineStr">
        <is>
          <t>AKA Vlieg</t>
        </is>
      </c>
      <c r="B242" s="80" t="n">
        <v>41504</v>
      </c>
      <c r="C242" s="85" t="n"/>
      <c r="D242" s="6">
        <f>IFERROR(VLOOKUP($A242,Company_Cat!$C$2:$C$623,1,FALSE),"")</f>
        <v/>
      </c>
    </row>
    <row r="243">
      <c r="A243" s="81" t="inlineStr">
        <is>
          <t>Jurgens Car &amp; Truck Supplies</t>
        </is>
      </c>
      <c r="B243" s="80" t="n">
        <v>41494</v>
      </c>
      <c r="C243" s="85" t="n"/>
      <c r="D243" s="6">
        <f>IFERROR(VLOOKUP($A243,Company_Cat!$C$2:$C$623,1,FALSE),"")</f>
        <v/>
      </c>
    </row>
    <row r="244">
      <c r="A244" s="79" t="inlineStr">
        <is>
          <t>ms willie van straten</t>
        </is>
      </c>
      <c r="B244" s="80" t="n">
        <v>41451</v>
      </c>
      <c r="C244" s="80" t="n"/>
      <c r="D244" s="6">
        <f>IFERROR(VLOOKUP($A244,Company_Cat!$C$2:$C$623,1,FALSE),"")</f>
        <v/>
      </c>
    </row>
    <row r="245">
      <c r="A245" s="79" t="inlineStr">
        <is>
          <t>Joel Bolthouse</t>
        </is>
      </c>
      <c r="B245" s="80" t="n">
        <v>41444</v>
      </c>
      <c r="C245" s="85" t="n"/>
      <c r="D245" s="6">
        <f>IFERROR(VLOOKUP($A245,Company_Cat!$C$2:$C$623,1,FALSE),"")</f>
        <v/>
      </c>
    </row>
    <row r="246">
      <c r="A246" s="82" t="inlineStr">
        <is>
          <t>ms Exclusive Autos</t>
        </is>
      </c>
      <c r="B246" s="83" t="n">
        <v>41408</v>
      </c>
      <c r="C246" s="83" t="n"/>
      <c r="D246" s="6">
        <f>IFERROR(VLOOKUP($A246,Company_Cat!$C$2:$C$623,1,FALSE),"")</f>
        <v/>
      </c>
    </row>
    <row r="247">
      <c r="A247" s="79" t="inlineStr">
        <is>
          <t>Pilatus</t>
        </is>
      </c>
      <c r="B247" s="80" t="n">
        <v>41408</v>
      </c>
      <c r="C247" s="85" t="n"/>
      <c r="D247" s="6">
        <f>IFERROR(VLOOKUP($A247,Company_Cat!$C$2:$C$623,1,FALSE),"")</f>
        <v/>
      </c>
    </row>
    <row r="248">
      <c r="A248" s="81" t="inlineStr">
        <is>
          <t>Kuster Family Trust</t>
        </is>
      </c>
      <c r="B248" s="80" t="n">
        <v>41402</v>
      </c>
      <c r="C248" s="85" t="n"/>
      <c r="D248" s="6">
        <f>IFERROR(VLOOKUP($A248,Company_Cat!$C$2:$C$623,1,FALSE),"")</f>
        <v/>
      </c>
    </row>
    <row r="249">
      <c r="A249" s="79" t="inlineStr">
        <is>
          <t>Duravia</t>
        </is>
      </c>
      <c r="B249" s="80" t="n">
        <v>41383</v>
      </c>
      <c r="C249" s="85" t="n"/>
      <c r="D249" s="6">
        <f>IFERROR(VLOOKUP($A249,Company_Cat!$C$2:$C$623,1,FALSE),"")</f>
        <v/>
      </c>
    </row>
    <row r="250">
      <c r="A250" s="81" t="inlineStr">
        <is>
          <t>BAC Mick Joss</t>
        </is>
      </c>
      <c r="B250" s="80" t="n">
        <v>41381</v>
      </c>
      <c r="C250" s="85" t="n"/>
      <c r="D250" s="6">
        <f>IFERROR(VLOOKUP($A250,Company_Cat!$C$2:$C$623,1,FALSE),"")</f>
        <v/>
      </c>
    </row>
    <row r="251">
      <c r="A251" s="79" t="inlineStr">
        <is>
          <t>Maly Clemens</t>
        </is>
      </c>
      <c r="B251" s="80" t="n">
        <v>41352</v>
      </c>
      <c r="C251" s="85" t="n"/>
      <c r="D251" s="6">
        <f>IFERROR(VLOOKUP($A251,Company_Cat!$C$2:$C$623,1,FALSE),"")</f>
        <v/>
      </c>
    </row>
    <row r="252">
      <c r="A252" s="79" t="inlineStr">
        <is>
          <t>Lanseria Jet Centre</t>
        </is>
      </c>
      <c r="B252" s="80" t="n">
        <v>41338</v>
      </c>
      <c r="C252" s="85" t="n"/>
      <c r="D252" s="6">
        <f>IFERROR(VLOOKUP($A252,Company_Cat!$C$2:$C$623,1,FALSE),"")</f>
        <v/>
      </c>
    </row>
    <row r="253">
      <c r="A253" s="81" t="inlineStr">
        <is>
          <t>ms Curvent Ferrari</t>
        </is>
      </c>
      <c r="B253" s="80" t="n">
        <v>41334</v>
      </c>
      <c r="C253" s="80" t="n"/>
      <c r="D253" s="6">
        <f>IFERROR(VLOOKUP($A253,Company_Cat!$C$2:$C$623,1,FALSE),"")</f>
        <v/>
      </c>
    </row>
    <row r="254">
      <c r="A254" s="79" t="inlineStr">
        <is>
          <t>ms Justin Mathie Porche</t>
        </is>
      </c>
      <c r="B254" s="80" t="n">
        <v>41317</v>
      </c>
      <c r="C254" s="80" t="n"/>
      <c r="D254" s="6">
        <f>IFERROR(VLOOKUP($A254,Company_Cat!$C$2:$C$623,1,FALSE),"")</f>
        <v/>
      </c>
    </row>
    <row r="255">
      <c r="A255" s="81" t="inlineStr">
        <is>
          <t>CLIC</t>
        </is>
      </c>
      <c r="B255" s="80" t="n">
        <v>41312</v>
      </c>
      <c r="C255" s="85" t="n"/>
      <c r="D255" s="6">
        <f>IFERROR(VLOOKUP($A255,Company_Cat!$C$2:$C$623,1,FALSE),"")</f>
        <v/>
      </c>
    </row>
    <row r="256">
      <c r="A256" s="79" t="inlineStr">
        <is>
          <t>Spark Air</t>
        </is>
      </c>
      <c r="B256" s="80" t="n">
        <v>41304</v>
      </c>
      <c r="C256" s="80" t="n"/>
      <c r="D256" s="6">
        <f>IFERROR(VLOOKUP($A256,Company_Cat!$C$2:$C$623,1,FALSE),"")</f>
        <v/>
      </c>
    </row>
    <row r="257">
      <c r="A257" s="81" t="inlineStr">
        <is>
          <t>ms Christo Lotter</t>
        </is>
      </c>
      <c r="B257" s="80" t="n">
        <v>41291</v>
      </c>
      <c r="C257" s="80" t="n"/>
      <c r="D257" s="6">
        <f>IFERROR(VLOOKUP($A257,Company_Cat!$C$2:$C$623,1,FALSE),"")</f>
        <v/>
      </c>
    </row>
    <row r="258">
      <c r="A258" s="79" t="inlineStr">
        <is>
          <t>ms Universal Products Garth Waberski</t>
        </is>
      </c>
      <c r="B258" s="80" t="n">
        <v>41241</v>
      </c>
      <c r="C258" s="80" t="n"/>
      <c r="D258" s="6">
        <f>IFERROR(VLOOKUP($A258,Company_Cat!$C$2:$C$623,1,FALSE),"")</f>
        <v/>
      </c>
    </row>
    <row r="259">
      <c r="A259" s="81" t="inlineStr">
        <is>
          <t>ms Local Freight Services</t>
        </is>
      </c>
      <c r="B259" s="80" t="n">
        <v>41240</v>
      </c>
      <c r="C259" s="80" t="n"/>
      <c r="D259" s="6">
        <f>IFERROR(VLOOKUP($A259,Company_Cat!$C$2:$C$623,1,FALSE),"")</f>
        <v/>
      </c>
    </row>
    <row r="260">
      <c r="A260" s="79" t="inlineStr">
        <is>
          <t>Lacoras</t>
        </is>
      </c>
      <c r="B260" s="80" t="n">
        <v>41233</v>
      </c>
      <c r="C260" s="85" t="n"/>
      <c r="D260" s="6">
        <f>IFERROR(VLOOKUP($A260,Company_Cat!$C$2:$C$623,1,FALSE),"")</f>
        <v/>
      </c>
    </row>
    <row r="261">
      <c r="A261" s="81" t="inlineStr">
        <is>
          <t>various</t>
        </is>
      </c>
      <c r="B261" s="80" t="n">
        <v>41229</v>
      </c>
      <c r="C261" s="85" t="n"/>
      <c r="D261" s="6">
        <f>IFERROR(VLOOKUP($A261,Company_Cat!$C$2:$C$623,1,FALSE),"")</f>
        <v/>
      </c>
    </row>
    <row r="262">
      <c r="A262" s="81" t="inlineStr">
        <is>
          <t>ms Auby Boys Racing</t>
        </is>
      </c>
      <c r="B262" s="80" t="n">
        <v>41225</v>
      </c>
      <c r="C262" s="80" t="n"/>
      <c r="D262" s="6">
        <f>IFERROR(VLOOKUP($A262,Company_Cat!$C$2:$C$623,1,FALSE),"")</f>
        <v/>
      </c>
    </row>
    <row r="263">
      <c r="A263" s="79" t="inlineStr">
        <is>
          <t>ms BMW  Wayne Niz</t>
        </is>
      </c>
      <c r="B263" s="80" t="n">
        <v>41225</v>
      </c>
      <c r="C263" s="80" t="n"/>
      <c r="D263" s="6">
        <f>IFERROR(VLOOKUP($A263,Company_Cat!$C$2:$C$623,1,FALSE),"")</f>
        <v/>
      </c>
    </row>
    <row r="264">
      <c r="A264" s="79" t="inlineStr">
        <is>
          <t>Prefab Mobile Hire (Pty) ltd.</t>
        </is>
      </c>
      <c r="B264" s="80" t="n">
        <v>41221</v>
      </c>
      <c r="C264" s="85" t="n"/>
      <c r="D264" s="6">
        <f>IFERROR(VLOOKUP($A264,Company_Cat!$C$2:$C$623,1,FALSE),"")</f>
        <v/>
      </c>
    </row>
    <row r="265">
      <c r="A265" s="81" t="inlineStr">
        <is>
          <t>Air safety pilot acadamy rand</t>
        </is>
      </c>
      <c r="B265" s="80" t="n">
        <v>41211</v>
      </c>
      <c r="C265" s="85" t="n"/>
      <c r="D265" s="6">
        <f>IFERROR(VLOOKUP($A265,Company_Cat!$C$2:$C$623,1,FALSE),"")</f>
        <v/>
      </c>
    </row>
    <row r="266">
      <c r="A266" s="81" t="inlineStr">
        <is>
          <t>ms JEM Jean Els</t>
        </is>
      </c>
      <c r="B266" s="80" t="n">
        <v>41193</v>
      </c>
      <c r="C266" s="80" t="n"/>
      <c r="D266" s="6">
        <f>IFERROR(VLOOKUP($A266,Company_Cat!$C$2:$C$623,1,FALSE),"")</f>
        <v/>
      </c>
    </row>
    <row r="267">
      <c r="A267" s="79" t="inlineStr">
        <is>
          <t>Air tech bethlehem</t>
        </is>
      </c>
      <c r="B267" s="80" t="n">
        <v>41171</v>
      </c>
      <c r="C267" s="80" t="n"/>
      <c r="D267" s="6">
        <f>IFERROR(VLOOKUP($A267,Company_Cat!$C$2:$C$623,1,FALSE),"")</f>
        <v/>
      </c>
    </row>
    <row r="268">
      <c r="A268" s="79" t="inlineStr">
        <is>
          <t>Heir Utility Vehicles</t>
        </is>
      </c>
      <c r="B268" s="80" t="n">
        <v>41164</v>
      </c>
      <c r="C268" s="85" t="n"/>
      <c r="D268" s="6">
        <f>IFERROR(VLOOKUP($A268,Company_Cat!$C$2:$C$623,1,FALSE),"")</f>
        <v/>
      </c>
    </row>
    <row r="269">
      <c r="A269" s="81" t="inlineStr">
        <is>
          <t>Hawk Helicopters (Pty) LTD</t>
        </is>
      </c>
      <c r="B269" s="80" t="n">
        <v>41159</v>
      </c>
      <c r="C269" s="85" t="n"/>
      <c r="D269" s="6">
        <f>IFERROR(VLOOKUP($A269,Company_Cat!$C$2:$C$623,1,FALSE),"")</f>
        <v/>
      </c>
    </row>
    <row r="270">
      <c r="A270" s="79" t="inlineStr">
        <is>
          <t>Velocity Aviation cc</t>
        </is>
      </c>
      <c r="B270" s="80" t="n">
        <v>41099</v>
      </c>
      <c r="C270" s="85" t="n"/>
      <c r="D270" s="6">
        <f>IFERROR(VLOOKUP($A270,Company_Cat!$C$2:$C$623,1,FALSE),"")</f>
        <v/>
      </c>
    </row>
    <row r="271">
      <c r="A271" s="81" t="inlineStr">
        <is>
          <t>NORTHAIR</t>
        </is>
      </c>
      <c r="B271" s="80" t="n">
        <v>41075</v>
      </c>
      <c r="C271" s="85" t="n"/>
      <c r="D271" s="6">
        <f>IFERROR(VLOOKUP($A271,Company_Cat!$C$2:$C$623,1,FALSE),"")</f>
        <v/>
      </c>
    </row>
    <row r="272">
      <c r="A272" s="79" t="inlineStr">
        <is>
          <t>Jeremy</t>
        </is>
      </c>
      <c r="B272" s="80" t="n">
        <v>41025</v>
      </c>
      <c r="C272" s="85" t="n"/>
      <c r="D272" s="6">
        <f>IFERROR(VLOOKUP($A272,Company_Cat!$C$2:$C$623,1,FALSE),"")</f>
        <v/>
      </c>
    </row>
    <row r="273">
      <c r="A273" s="81" t="inlineStr">
        <is>
          <t>ms BMW Riaan</t>
        </is>
      </c>
      <c r="B273" s="80" t="n">
        <v>40990</v>
      </c>
      <c r="C273" s="80" t="n"/>
      <c r="D273" s="6">
        <f>IFERROR(VLOOKUP($A273,Company_Cat!$C$2:$C$623,1,FALSE),"")</f>
        <v/>
      </c>
    </row>
    <row r="274">
      <c r="A274" s="79" t="inlineStr">
        <is>
          <t>ms City Used Spares</t>
        </is>
      </c>
      <c r="B274" s="80" t="n">
        <v>40987</v>
      </c>
      <c r="C274" s="80" t="n"/>
      <c r="D274" s="6">
        <f>IFERROR(VLOOKUP($A274,Company_Cat!$C$2:$C$623,1,FALSE),"")</f>
        <v/>
      </c>
    </row>
    <row r="275">
      <c r="A275" s="79" t="inlineStr">
        <is>
          <t>Newton Young</t>
        </is>
      </c>
      <c r="B275" s="80" t="n">
        <v>40976</v>
      </c>
      <c r="C275" s="85" t="n"/>
      <c r="D275" s="6">
        <f>IFERROR(VLOOKUP($A275,Company_Cat!$C$2:$C$623,1,FALSE),"")</f>
        <v/>
      </c>
    </row>
    <row r="276">
      <c r="A276" s="81" t="inlineStr">
        <is>
          <t>ms Markus Porche</t>
        </is>
      </c>
      <c r="B276" s="80" t="n">
        <v>40940</v>
      </c>
      <c r="C276" s="80" t="n"/>
      <c r="D276" s="6">
        <f>IFERROR(VLOOKUP($A276,Company_Cat!$C$2:$C$623,1,FALSE),"")</f>
        <v/>
      </c>
    </row>
    <row r="277">
      <c r="A277" s="81" t="inlineStr">
        <is>
          <t>ms J S Racing</t>
        </is>
      </c>
      <c r="B277" s="80" t="n">
        <v>40921</v>
      </c>
      <c r="C277" s="80" t="n"/>
      <c r="D277" s="6">
        <f>IFERROR(VLOOKUP($A277,Company_Cat!$C$2:$C$623,1,FALSE),"")</f>
        <v/>
      </c>
    </row>
    <row r="278">
      <c r="A278" s="81" t="inlineStr">
        <is>
          <t>Charja Aviation</t>
        </is>
      </c>
      <c r="B278" s="80" t="n">
        <v>40879</v>
      </c>
      <c r="C278" s="85" t="n"/>
      <c r="D278" s="6">
        <f>IFERROR(VLOOKUP($A278,Company_Cat!$C$2:$C$623,1,FALSE),"")</f>
        <v/>
      </c>
    </row>
    <row r="279">
      <c r="A279" s="79" t="inlineStr">
        <is>
          <t>Guy's Aircraft Services</t>
        </is>
      </c>
      <c r="B279" s="80" t="n">
        <v>40878</v>
      </c>
      <c r="C279" s="85" t="n"/>
      <c r="D279" s="6">
        <f>IFERROR(VLOOKUP($A279,Company_Cat!$C$2:$C$623,1,FALSE),"")</f>
        <v/>
      </c>
    </row>
    <row r="280">
      <c r="A280" s="79" t="inlineStr">
        <is>
          <t>ms Flawless Auto</t>
        </is>
      </c>
      <c r="B280" s="80" t="n">
        <v>40871</v>
      </c>
      <c r="C280" s="80" t="n"/>
      <c r="D280" s="6">
        <f>IFERROR(VLOOKUP($A280,Company_Cat!$C$2:$C$623,1,FALSE),"")</f>
        <v/>
      </c>
    </row>
    <row r="281">
      <c r="A281" s="79" t="inlineStr">
        <is>
          <t>ms Ford Motorsport</t>
        </is>
      </c>
      <c r="B281" s="80" t="n">
        <v>40830</v>
      </c>
      <c r="C281" s="85" t="n"/>
      <c r="D281" s="6">
        <f>IFERROR(VLOOKUP($A281,Company_Cat!$C$2:$C$623,1,FALSE),"")</f>
        <v/>
      </c>
    </row>
    <row r="282">
      <c r="A282" s="79" t="inlineStr">
        <is>
          <t>Master Drilling</t>
        </is>
      </c>
      <c r="B282" s="80" t="n">
        <v>40829</v>
      </c>
      <c r="C282" s="85" t="n"/>
      <c r="D282" s="6">
        <f>IFERROR(VLOOKUP($A282,Company_Cat!$C$2:$C$623,1,FALSE),"")</f>
        <v/>
      </c>
    </row>
    <row r="283">
      <c r="A283" s="79" t="inlineStr">
        <is>
          <t>Charl Hartman</t>
        </is>
      </c>
      <c r="B283" s="80" t="n">
        <v>40820</v>
      </c>
      <c r="C283" s="85" t="n"/>
      <c r="D283" s="6">
        <f>IFERROR(VLOOKUP($A283,Company_Cat!$C$2:$C$623,1,FALSE),"")</f>
        <v/>
      </c>
    </row>
    <row r="284">
      <c r="A284" s="79" t="inlineStr">
        <is>
          <t>Web Communications Development (Pty) Ltd</t>
        </is>
      </c>
      <c r="B284" s="80" t="n">
        <v>40791</v>
      </c>
      <c r="C284" s="85" t="n"/>
      <c r="D284" s="6">
        <f>IFERROR(VLOOKUP($A284,Company_Cat!$C$2:$C$623,1,FALSE),"")</f>
        <v/>
      </c>
    </row>
    <row r="285">
      <c r="A285" s="79" t="inlineStr">
        <is>
          <t>ms Johan fourie racing</t>
        </is>
      </c>
      <c r="B285" s="80" t="n">
        <v>40777</v>
      </c>
      <c r="C285" s="80" t="n"/>
      <c r="D285" s="6">
        <f>IFERROR(VLOOKUP($A285,Company_Cat!$C$2:$C$623,1,FALSE),"")</f>
        <v/>
      </c>
    </row>
    <row r="286">
      <c r="A286" s="81" t="inlineStr">
        <is>
          <t>Scarlet sun Demetre</t>
        </is>
      </c>
      <c r="B286" s="80" t="n">
        <v>40757</v>
      </c>
      <c r="C286" s="85" t="n"/>
      <c r="D286" s="6">
        <f>IFERROR(VLOOKUP($A286,Company_Cat!$C$2:$C$623,1,FALSE),"")</f>
        <v/>
      </c>
    </row>
    <row r="287">
      <c r="A287" s="79" t="inlineStr">
        <is>
          <t>BOAT TECH</t>
        </is>
      </c>
      <c r="B287" s="80" t="n">
        <v>40744</v>
      </c>
      <c r="C287" s="85" t="n"/>
      <c r="D287" s="6">
        <f>IFERROR(VLOOKUP($A287,Company_Cat!$C$2:$C$623,1,FALSE),"")</f>
        <v/>
      </c>
    </row>
    <row r="288">
      <c r="A288" s="82" t="inlineStr">
        <is>
          <t>Xcel Aviation</t>
        </is>
      </c>
      <c r="B288" s="83" t="n">
        <v>40735</v>
      </c>
      <c r="C288" s="86" t="n"/>
      <c r="D288" s="6">
        <f>IFERROR(VLOOKUP($A288,Company_Cat!$C$2:$C$623,1,FALSE),"")</f>
        <v/>
      </c>
    </row>
    <row r="289">
      <c r="A289" s="79" t="inlineStr">
        <is>
          <t>Leading Edge Helicopters</t>
        </is>
      </c>
      <c r="B289" s="80" t="n">
        <v>40724</v>
      </c>
      <c r="C289" s="80" t="n"/>
      <c r="D289" s="6">
        <f>IFERROR(VLOOKUP($A289,Company_Cat!$C$2:$C$623,1,FALSE),"")</f>
        <v/>
      </c>
    </row>
    <row r="290">
      <c r="A290" s="81" t="inlineStr">
        <is>
          <t>Mastertech Aircraft Maintenance</t>
        </is>
      </c>
      <c r="B290" s="80" t="n">
        <v>40711</v>
      </c>
      <c r="C290" s="85" t="n"/>
      <c r="D290" s="6">
        <f>IFERROR(VLOOKUP($A290,Company_Cat!$C$2:$C$623,1,FALSE),"")</f>
        <v/>
      </c>
    </row>
    <row r="291">
      <c r="A291" s="81" t="inlineStr">
        <is>
          <t>Francois Bebacus cc</t>
        </is>
      </c>
      <c r="B291" s="80" t="n">
        <v>40651</v>
      </c>
      <c r="C291" s="85" t="n"/>
      <c r="D291" s="6">
        <f>IFERROR(VLOOKUP($A291,Company_Cat!$C$2:$C$623,1,FALSE),"")</f>
        <v/>
      </c>
    </row>
    <row r="292">
      <c r="A292" s="79" t="inlineStr">
        <is>
          <t>Rafay Air cc</t>
        </is>
      </c>
      <c r="B292" s="80" t="n">
        <v>40646</v>
      </c>
      <c r="C292" s="85" t="n"/>
      <c r="D292" s="6">
        <f>IFERROR(VLOOKUP($A292,Company_Cat!$C$2:$C$623,1,FALSE),"")</f>
        <v/>
      </c>
    </row>
    <row r="293">
      <c r="A293" s="79" t="inlineStr">
        <is>
          <t>Okutuka Investments</t>
        </is>
      </c>
      <c r="B293" s="80" t="n">
        <v>40644</v>
      </c>
      <c r="C293" s="85" t="n"/>
      <c r="D293" s="6">
        <f>IFERROR(VLOOKUP($A293,Company_Cat!$C$2:$C$623,1,FALSE),"")</f>
        <v/>
      </c>
    </row>
    <row r="294">
      <c r="A294" s="81" t="inlineStr">
        <is>
          <t>ms Ben Morgenrood</t>
        </is>
      </c>
      <c r="B294" s="80" t="n">
        <v>40620</v>
      </c>
      <c r="C294" s="80" t="n"/>
      <c r="D294" s="6">
        <f>IFERROR(VLOOKUP($A294,Company_Cat!$C$2:$C$623,1,FALSE),"")</f>
        <v/>
      </c>
    </row>
    <row r="295">
      <c r="A295" s="79" t="inlineStr">
        <is>
          <t>Carlos Sweet Waters Aviation cc</t>
        </is>
      </c>
      <c r="B295" s="80" t="n">
        <v>40591</v>
      </c>
      <c r="C295" s="85" t="n"/>
      <c r="D295" s="6">
        <f>IFERROR(VLOOKUP($A295,Company_Cat!$C$2:$C$623,1,FALSE),"")</f>
        <v/>
      </c>
    </row>
    <row r="296">
      <c r="A296" s="81" t="inlineStr">
        <is>
          <t>ms GT Tamping</t>
        </is>
      </c>
      <c r="B296" s="80" t="n">
        <v>40583</v>
      </c>
      <c r="C296" s="80" t="n"/>
      <c r="D296" s="6">
        <f>IFERROR(VLOOKUP($A296,Company_Cat!$C$2:$C$623,1,FALSE),"")</f>
        <v/>
      </c>
    </row>
    <row r="297">
      <c r="A297" s="79" t="inlineStr">
        <is>
          <t>ms Honda JSR</t>
        </is>
      </c>
      <c r="B297" s="80" t="n">
        <v>40578</v>
      </c>
      <c r="C297" s="80" t="n"/>
      <c r="D297" s="6">
        <f>IFERROR(VLOOKUP($A297,Company_Cat!$C$2:$C$623,1,FALSE),"")</f>
        <v/>
      </c>
    </row>
    <row r="298">
      <c r="A298" s="81" t="inlineStr">
        <is>
          <t>ms RSI Autobody</t>
        </is>
      </c>
      <c r="B298" s="80" t="n">
        <v>40534</v>
      </c>
      <c r="C298" s="80" t="n"/>
      <c r="D298" s="6">
        <f>IFERROR(VLOOKUP($A298,Company_Cat!$C$2:$C$623,1,FALSE),"")</f>
        <v/>
      </c>
    </row>
    <row r="299">
      <c r="A299" s="79" t="inlineStr">
        <is>
          <t>ms Omega</t>
        </is>
      </c>
      <c r="B299" s="80" t="n">
        <v>40500</v>
      </c>
      <c r="C299" s="80" t="n"/>
      <c r="D299" s="6">
        <f>IFERROR(VLOOKUP($A299,Company_Cat!$C$2:$C$623,1,FALSE),"")</f>
        <v/>
      </c>
    </row>
    <row r="300">
      <c r="A300" s="81" t="inlineStr">
        <is>
          <t>Federal air Johan Lottering</t>
        </is>
      </c>
      <c r="B300" s="80" t="n">
        <v>40472</v>
      </c>
      <c r="C300" s="85" t="n"/>
      <c r="D300" s="6">
        <f>IFERROR(VLOOKUP($A300,Company_Cat!$C$2:$C$623,1,FALSE),"")</f>
        <v/>
      </c>
    </row>
    <row r="301">
      <c r="A301" s="81" t="inlineStr">
        <is>
          <t>Skyraiders</t>
        </is>
      </c>
      <c r="B301" s="80" t="n">
        <v>40441</v>
      </c>
      <c r="C301" s="85" t="n"/>
      <c r="D301" s="6">
        <f>IFERROR(VLOOKUP($A301,Company_Cat!$C$2:$C$623,1,FALSE),"")</f>
        <v/>
      </c>
    </row>
    <row r="302">
      <c r="A302" s="81" t="inlineStr">
        <is>
          <t>Paul Olofsen</t>
        </is>
      </c>
      <c r="B302" s="80" t="n">
        <v>40436</v>
      </c>
      <c r="C302" s="85" t="n"/>
      <c r="D302" s="6">
        <f>IFERROR(VLOOKUP($A302,Company_Cat!$C$2:$C$623,1,FALSE),"")</f>
        <v/>
      </c>
    </row>
    <row r="303">
      <c r="A303" s="81" t="inlineStr">
        <is>
          <t>Deon Beukes</t>
        </is>
      </c>
      <c r="B303" s="80" t="n">
        <v>40423</v>
      </c>
      <c r="C303" s="85" t="n"/>
      <c r="D303" s="6">
        <f>IFERROR(VLOOKUP($A303,Company_Cat!$C$2:$C$623,1,FALSE),"")</f>
        <v/>
      </c>
    </row>
    <row r="304">
      <c r="A304" s="79" t="inlineStr">
        <is>
          <t>ms Ernest E Type Jag</t>
        </is>
      </c>
      <c r="B304" s="80" t="n">
        <v>40421</v>
      </c>
      <c r="C304" s="80" t="n"/>
      <c r="D304" s="6">
        <f>IFERROR(VLOOKUP($A304,Company_Cat!$C$2:$C$623,1,FALSE),"")</f>
        <v/>
      </c>
    </row>
    <row r="305">
      <c r="A305" s="79" t="inlineStr">
        <is>
          <t>Lowveld Aircraft Services cc</t>
        </is>
      </c>
      <c r="B305" s="80" t="n">
        <v>40395</v>
      </c>
      <c r="C305" s="80" t="n"/>
      <c r="D305" s="6">
        <f>IFERROR(VLOOKUP($A305,Company_Cat!$C$2:$C$623,1,FALSE),"")</f>
        <v/>
      </c>
    </row>
    <row r="306">
      <c r="A306" s="81" t="inlineStr">
        <is>
          <t>Piet Burger</t>
        </is>
      </c>
      <c r="B306" s="80" t="n">
        <v>40386</v>
      </c>
      <c r="C306" s="85" t="n"/>
      <c r="D306" s="6">
        <f>IFERROR(VLOOKUP($A306,Company_Cat!$C$2:$C$623,1,FALSE),"")</f>
        <v/>
      </c>
    </row>
    <row r="307">
      <c r="A307" s="79" t="inlineStr">
        <is>
          <t>maizey plas</t>
        </is>
      </c>
      <c r="B307" s="80" t="n">
        <v>40382</v>
      </c>
      <c r="C307" s="85" t="n"/>
      <c r="D307" s="6">
        <f>IFERROR(VLOOKUP($A307,Company_Cat!$C$2:$C$623,1,FALSE),"")</f>
        <v/>
      </c>
    </row>
    <row r="308">
      <c r="A308" s="81" t="inlineStr">
        <is>
          <t>Mandie</t>
        </is>
      </c>
      <c r="B308" s="80" t="n">
        <v>40373</v>
      </c>
      <c r="C308" s="85" t="n"/>
      <c r="D308" s="6">
        <f>IFERROR(VLOOKUP($A308,Company_Cat!$C$2:$C$623,1,FALSE),"")</f>
        <v/>
      </c>
    </row>
    <row r="309">
      <c r="A309" s="81" t="inlineStr">
        <is>
          <t>ms Tunetech</t>
        </is>
      </c>
      <c r="B309" s="80" t="n">
        <v>40366</v>
      </c>
      <c r="C309" s="80" t="n"/>
      <c r="D309" s="6">
        <f>IFERROR(VLOOKUP($A309,Company_Cat!$C$2:$C$623,1,FALSE),"")</f>
        <v/>
      </c>
    </row>
    <row r="310">
      <c r="A310" s="81" t="inlineStr">
        <is>
          <t>Nico Karsten</t>
        </is>
      </c>
      <c r="B310" s="80" t="n">
        <v>40366</v>
      </c>
      <c r="C310" s="85" t="n"/>
      <c r="D310" s="6">
        <f>IFERROR(VLOOKUP($A310,Company_Cat!$C$2:$C$623,1,FALSE),"")</f>
        <v/>
      </c>
    </row>
    <row r="311">
      <c r="A311" s="81" t="inlineStr">
        <is>
          <t>JSV Vaughan</t>
        </is>
      </c>
      <c r="B311" s="80" t="n">
        <v>40346</v>
      </c>
      <c r="C311" s="85" t="n"/>
      <c r="D311" s="6">
        <f>IFERROR(VLOOKUP($A311,Company_Cat!$C$2:$C$623,1,FALSE),"")</f>
        <v/>
      </c>
    </row>
    <row r="312">
      <c r="A312" s="81" t="inlineStr">
        <is>
          <t>B A C Engineering tim bell</t>
        </is>
      </c>
      <c r="B312" s="80" t="n">
        <v>40337</v>
      </c>
      <c r="C312" s="85" t="n"/>
      <c r="D312" s="6">
        <f>IFERROR(VLOOKUP($A312,Company_Cat!$C$2:$C$623,1,FALSE),"")</f>
        <v/>
      </c>
    </row>
    <row r="313">
      <c r="A313" s="79" t="inlineStr">
        <is>
          <t>Balding Eagles</t>
        </is>
      </c>
      <c r="B313" s="80" t="n">
        <v>40296</v>
      </c>
      <c r="C313" s="85" t="n"/>
      <c r="D313" s="6">
        <f>IFERROR(VLOOKUP($A313,Company_Cat!$C$2:$C$623,1,FALSE),"")</f>
        <v/>
      </c>
    </row>
    <row r="314">
      <c r="A314" s="81" t="inlineStr">
        <is>
          <t>Piere Kitching</t>
        </is>
      </c>
      <c r="B314" s="80" t="n">
        <v>40288</v>
      </c>
      <c r="C314" s="85" t="n"/>
      <c r="D314" s="6">
        <f>IFERROR(VLOOKUP($A314,Company_Cat!$C$2:$C$623,1,FALSE),"")</f>
        <v/>
      </c>
    </row>
    <row r="315">
      <c r="A315" s="79" t="inlineStr">
        <is>
          <t>ms Danlou Motors</t>
        </is>
      </c>
      <c r="B315" s="80" t="n">
        <v>40254</v>
      </c>
      <c r="C315" s="80" t="n"/>
      <c r="D315" s="6">
        <f>IFERROR(VLOOKUP($A315,Company_Cat!$C$2:$C$623,1,FALSE),"")</f>
        <v/>
      </c>
    </row>
    <row r="316">
      <c r="A316" s="79" t="inlineStr">
        <is>
          <t>Trevor Friend</t>
        </is>
      </c>
      <c r="B316" s="80" t="n">
        <v>40239</v>
      </c>
      <c r="C316" s="85" t="n"/>
      <c r="D316" s="6">
        <f>IFERROR(VLOOKUP($A316,Company_Cat!$C$2:$C$623,1,FALSE),"")</f>
        <v/>
      </c>
    </row>
    <row r="317">
      <c r="A317" s="79" t="inlineStr">
        <is>
          <t>John Reeder</t>
        </is>
      </c>
      <c r="B317" s="80" t="n">
        <v>40232</v>
      </c>
      <c r="C317" s="85" t="n"/>
      <c r="D317" s="6">
        <f>IFERROR(VLOOKUP($A317,Company_Cat!$C$2:$C$623,1,FALSE),"")</f>
        <v/>
      </c>
    </row>
    <row r="318">
      <c r="A318" s="81" t="inlineStr">
        <is>
          <t>Greenwood Air Services</t>
        </is>
      </c>
      <c r="B318" s="80" t="n">
        <v>40228</v>
      </c>
      <c r="C318" s="85" t="n"/>
      <c r="D318" s="6">
        <f>IFERROR(VLOOKUP($A318,Company_Cat!$C$2:$C$623,1,FALSE),"")</f>
        <v/>
      </c>
    </row>
    <row r="319">
      <c r="A319" s="79" t="inlineStr">
        <is>
          <t>Pieter Steenkamp</t>
        </is>
      </c>
      <c r="B319" s="80" t="n">
        <v>40225</v>
      </c>
      <c r="C319" s="85" t="n"/>
      <c r="D319" s="6">
        <f>IFERROR(VLOOKUP($A319,Company_Cat!$C$2:$C$623,1,FALSE),"")</f>
        <v/>
      </c>
    </row>
    <row r="320">
      <c r="A320" s="79" t="inlineStr">
        <is>
          <t>Acryl Form</t>
        </is>
      </c>
      <c r="B320" s="80" t="n">
        <v>40221</v>
      </c>
      <c r="C320" s="85" t="n"/>
      <c r="D320" s="6">
        <f>IFERROR(VLOOKUP($A320,Company_Cat!$C$2:$C$623,1,FALSE),"")</f>
        <v/>
      </c>
    </row>
    <row r="321">
      <c r="A321" s="79" t="inlineStr">
        <is>
          <t>A R Cook</t>
        </is>
      </c>
      <c r="B321" s="80" t="n">
        <v>40219</v>
      </c>
      <c r="C321" s="85" t="n">
        <v>1</v>
      </c>
      <c r="D321" s="6">
        <f>IFERROR(VLOOKUP($A321,Company_Cat!$C$2:$C$623,1,FALSE),"")</f>
        <v/>
      </c>
    </row>
    <row r="322">
      <c r="A322" s="81" t="inlineStr">
        <is>
          <t>Harry Leach Trust</t>
        </is>
      </c>
      <c r="B322" s="80" t="n">
        <v>40219</v>
      </c>
      <c r="C322" s="85" t="n"/>
      <c r="D322" s="6">
        <f>IFERROR(VLOOKUP($A322,Company_Cat!$C$2:$C$623,1,FALSE),"")</f>
        <v/>
      </c>
    </row>
    <row r="323">
      <c r="A323" s="79" t="inlineStr">
        <is>
          <t>ms Misubishi Raptor Engineering</t>
        </is>
      </c>
      <c r="B323" s="80" t="n">
        <v>40200</v>
      </c>
      <c r="C323" s="80" t="n"/>
      <c r="D323" s="6">
        <f>IFERROR(VLOOKUP($A323,Company_Cat!$C$2:$C$623,1,FALSE),"")</f>
        <v/>
      </c>
    </row>
    <row r="324">
      <c r="A324" s="79" t="inlineStr">
        <is>
          <t>KAE</t>
        </is>
      </c>
      <c r="B324" s="80" t="n">
        <v>40196</v>
      </c>
      <c r="C324" s="85" t="n"/>
      <c r="D324" s="6">
        <f>IFERROR(VLOOKUP($A324,Company_Cat!$C$2:$C$623,1,FALSE),"")</f>
        <v/>
      </c>
    </row>
    <row r="325">
      <c r="A325" s="81" t="inlineStr">
        <is>
          <t>Vernon Smith</t>
        </is>
      </c>
      <c r="B325" s="80" t="n">
        <v>40161</v>
      </c>
      <c r="C325" s="85" t="n"/>
      <c r="D325" s="6">
        <f>IFERROR(VLOOKUP($A325,Company_Cat!$C$2:$C$623,1,FALSE),"")</f>
        <v/>
      </c>
    </row>
    <row r="326">
      <c r="A326" s="81" t="inlineStr">
        <is>
          <t>ms RG Motorsport</t>
        </is>
      </c>
      <c r="B326" s="80" t="n">
        <v>40135</v>
      </c>
      <c r="C326" s="80" t="n"/>
      <c r="D326" s="6">
        <f>IFERROR(VLOOKUP($A326,Company_Cat!$C$2:$C$623,1,FALSE),"")</f>
        <v/>
      </c>
    </row>
    <row r="327">
      <c r="A327" s="79" t="inlineStr">
        <is>
          <t>Diesel Aviation</t>
        </is>
      </c>
      <c r="B327" s="80" t="n">
        <v>40092</v>
      </c>
      <c r="C327" s="85" t="n"/>
      <c r="D327" s="6">
        <f>IFERROR(VLOOKUP($A327,Company_Cat!$C$2:$C$623,1,FALSE),"")</f>
        <v/>
      </c>
    </row>
    <row r="328">
      <c r="A328" s="81" t="inlineStr">
        <is>
          <t>Spingbok Aviation</t>
        </is>
      </c>
      <c r="B328" s="80" t="n">
        <v>40084</v>
      </c>
      <c r="C328" s="80" t="n"/>
      <c r="D328" s="6">
        <f>IFERROR(VLOOKUP($A328,Company_Cat!$C$2:$C$623,1,FALSE),"")</f>
        <v/>
      </c>
    </row>
    <row r="329">
      <c r="A329" s="81" t="inlineStr">
        <is>
          <t>Omni</t>
        </is>
      </c>
      <c r="B329" s="80" t="n">
        <v>40052</v>
      </c>
      <c r="C329" s="80" t="n"/>
      <c r="D329" s="6">
        <f>IFERROR(VLOOKUP($A329,Company_Cat!$C$2:$C$623,1,FALSE),"")</f>
        <v/>
      </c>
    </row>
    <row r="330">
      <c r="A330" s="79" t="inlineStr">
        <is>
          <t>DENEL SAAB AEROSTRUCTURES (PTY) LTD</t>
        </is>
      </c>
      <c r="B330" s="80" t="n">
        <v>40040</v>
      </c>
      <c r="C330" s="85" t="n"/>
      <c r="D330" s="6">
        <f>IFERROR(VLOOKUP($A330,Company_Cat!$C$2:$C$623,1,FALSE),"")</f>
        <v/>
      </c>
    </row>
    <row r="331">
      <c r="A331" s="81" t="inlineStr">
        <is>
          <t>Duraset Visagie</t>
        </is>
      </c>
      <c r="B331" s="80" t="n">
        <v>40022</v>
      </c>
      <c r="C331" s="85" t="n"/>
      <c r="D331" s="6">
        <f>IFERROR(VLOOKUP($A331,Company_Cat!$C$2:$C$623,1,FALSE),"")</f>
        <v/>
      </c>
    </row>
    <row r="332">
      <c r="A332" s="81" t="inlineStr">
        <is>
          <t>ms Porche Dave Fourie</t>
        </is>
      </c>
      <c r="B332" s="80" t="n">
        <v>39994</v>
      </c>
      <c r="C332" s="80" t="n"/>
      <c r="D332" s="6">
        <f>IFERROR(VLOOKUP($A332,Company_Cat!$C$2:$C$623,1,FALSE),"")</f>
        <v/>
      </c>
    </row>
    <row r="333">
      <c r="A333" s="81" t="inlineStr">
        <is>
          <t>ms Village Auto</t>
        </is>
      </c>
      <c r="B333" s="80" t="n">
        <v>39975</v>
      </c>
      <c r="C333" s="85" t="n"/>
      <c r="D333" s="6">
        <f>IFERROR(VLOOKUP($A333,Company_Cat!$C$2:$C$623,1,FALSE),"")</f>
        <v/>
      </c>
    </row>
    <row r="334">
      <c r="A334" s="79" t="inlineStr">
        <is>
          <t>N W Airline Maint</t>
        </is>
      </c>
      <c r="B334" s="80" t="n">
        <v>39953</v>
      </c>
      <c r="C334" s="85" t="n"/>
      <c r="D334" s="6">
        <f>IFERROR(VLOOKUP($A334,Company_Cat!$C$2:$C$623,1,FALSE),"")</f>
        <v/>
      </c>
    </row>
    <row r="335">
      <c r="A335" s="79" t="inlineStr">
        <is>
          <t>C I V  E vd Mescht</t>
        </is>
      </c>
      <c r="B335" s="80" t="n">
        <v>39889</v>
      </c>
      <c r="C335" s="85" t="n"/>
      <c r="D335" s="6">
        <f>IFERROR(VLOOKUP($A335,Company_Cat!$C$2:$C$623,1,FALSE),"")</f>
        <v/>
      </c>
    </row>
    <row r="336">
      <c r="A336" s="79" t="inlineStr">
        <is>
          <t>Sport Aviation</t>
        </is>
      </c>
      <c r="B336" s="80" t="n">
        <v>39860</v>
      </c>
      <c r="C336" s="80" t="n"/>
      <c r="D336" s="6">
        <f>IFERROR(VLOOKUP($A336,Company_Cat!$C$2:$C$623,1,FALSE),"")</f>
        <v/>
      </c>
    </row>
    <row r="337">
      <c r="A337" s="81" t="inlineStr">
        <is>
          <t>Naschem</t>
        </is>
      </c>
      <c r="B337" s="80" t="n">
        <v>39848</v>
      </c>
      <c r="C337" s="85" t="n"/>
      <c r="D337" s="6">
        <f>IFERROR(VLOOKUP($A337,Company_Cat!$C$2:$C$623,1,FALSE),"")</f>
        <v/>
      </c>
    </row>
    <row r="338">
      <c r="A338" s="79" t="inlineStr">
        <is>
          <t>Jorge Maia</t>
        </is>
      </c>
      <c r="B338" s="80" t="n">
        <v>39846</v>
      </c>
      <c r="C338" s="85" t="n"/>
      <c r="D338" s="6">
        <f>IFERROR(VLOOKUP($A338,Company_Cat!$C$2:$C$623,1,FALSE),"")</f>
        <v/>
      </c>
    </row>
    <row r="339">
      <c r="A339" s="79" t="inlineStr">
        <is>
          <t>SA Flight Training</t>
        </is>
      </c>
      <c r="B339" s="80" t="n">
        <v>39764</v>
      </c>
      <c r="C339" s="85" t="n"/>
      <c r="D339" s="6">
        <f>IFERROR(VLOOKUP($A339,Company_Cat!$C$2:$C$623,1,FALSE),"")</f>
        <v/>
      </c>
    </row>
    <row r="340">
      <c r="A340" s="79" t="inlineStr">
        <is>
          <t>Rene</t>
        </is>
      </c>
      <c r="B340" s="80" t="n">
        <v>39744</v>
      </c>
      <c r="C340" s="85" t="n"/>
      <c r="D340" s="6">
        <f>IFERROR(VLOOKUP($A340,Company_Cat!$C$2:$C$623,1,FALSE),"")</f>
        <v/>
      </c>
    </row>
    <row r="341">
      <c r="A341" s="81" t="inlineStr">
        <is>
          <t>CHF Elektries</t>
        </is>
      </c>
      <c r="B341" s="80" t="n">
        <v>39736</v>
      </c>
      <c r="C341" s="85" t="n"/>
      <c r="D341" s="6">
        <f>IFERROR(VLOOKUP($A341,Company_Cat!$C$2:$C$623,1,FALSE),"")</f>
        <v/>
      </c>
    </row>
    <row r="342">
      <c r="A342" s="81" t="inlineStr">
        <is>
          <t>ms R J Panelbeaters</t>
        </is>
      </c>
      <c r="B342" s="80" t="n">
        <v>39721</v>
      </c>
      <c r="C342" s="85" t="n"/>
      <c r="D342" s="6">
        <f>IFERROR(VLOOKUP($A342,Company_Cat!$C$2:$C$623,1,FALSE),"")</f>
        <v/>
      </c>
    </row>
    <row r="343">
      <c r="A343" s="81" t="inlineStr">
        <is>
          <t>Oribi</t>
        </is>
      </c>
      <c r="B343" s="80" t="n">
        <v>39716</v>
      </c>
      <c r="C343" s="80" t="n"/>
      <c r="D343" s="6">
        <f>IFERROR(VLOOKUP($A343,Company_Cat!$C$2:$C$623,1,FALSE),"")</f>
        <v/>
      </c>
    </row>
    <row r="344">
      <c r="A344" s="79" t="inlineStr">
        <is>
          <t>PAC AIR 1980</t>
        </is>
      </c>
      <c r="B344" s="80" t="n">
        <v>39716</v>
      </c>
      <c r="C344" s="85" t="n"/>
      <c r="D344" s="6">
        <f>IFERROR(VLOOKUP($A344,Company_Cat!$C$2:$C$623,1,FALSE),"")</f>
        <v/>
      </c>
    </row>
    <row r="345">
      <c r="A345" s="81" t="inlineStr">
        <is>
          <t>bond helicopters</t>
        </is>
      </c>
      <c r="B345" s="80" t="n">
        <v>39608</v>
      </c>
      <c r="C345" s="85" t="n"/>
      <c r="D345" s="6">
        <f>IFERROR(VLOOKUP($A345,Company_Cat!$C$2:$C$623,1,FALSE),"")</f>
        <v/>
      </c>
    </row>
    <row r="346">
      <c r="A346" s="81" t="inlineStr">
        <is>
          <t>Rotor-Max    Paul lock</t>
        </is>
      </c>
      <c r="B346" s="80" t="n">
        <v>39591</v>
      </c>
      <c r="C346" s="85" t="n"/>
      <c r="D346" s="6">
        <f>IFERROR(VLOOKUP($A346,Company_Cat!$C$2:$C$623,1,FALSE),"")</f>
        <v/>
      </c>
    </row>
    <row r="347">
      <c r="A347" s="81" t="inlineStr">
        <is>
          <t>David Maree</t>
        </is>
      </c>
      <c r="B347" s="80" t="n">
        <v>39590</v>
      </c>
      <c r="C347" s="85" t="n"/>
      <c r="D347" s="6">
        <f>IFERROR(VLOOKUP($A347,Company_Cat!$C$2:$C$623,1,FALSE),"")</f>
        <v/>
      </c>
    </row>
    <row r="348">
      <c r="A348" s="81" t="inlineStr">
        <is>
          <t>Heymic Aviation</t>
        </is>
      </c>
      <c r="B348" s="80" t="n">
        <v>39590</v>
      </c>
      <c r="C348" s="85" t="n"/>
      <c r="D348" s="6">
        <f>IFERROR(VLOOKUP($A348,Company_Cat!$C$2:$C$623,1,FALSE),"")</f>
        <v/>
      </c>
    </row>
    <row r="349">
      <c r="A349" s="81" t="inlineStr">
        <is>
          <t>T Air</t>
        </is>
      </c>
      <c r="B349" s="80" t="n">
        <v>39542</v>
      </c>
      <c r="C349" s="85" t="n"/>
      <c r="D349" s="6">
        <f>IFERROR(VLOOKUP($A349,Company_Cat!$C$2:$C$623,1,FALSE),"")</f>
        <v/>
      </c>
    </row>
    <row r="350">
      <c r="A350" s="79" t="inlineStr">
        <is>
          <t>exec avio soln SAM</t>
        </is>
      </c>
      <c r="B350" s="80" t="n">
        <v>39518</v>
      </c>
      <c r="C350" s="80" t="n"/>
      <c r="D350" s="6">
        <f>IFERROR(VLOOKUP($A350,Company_Cat!$C$2:$C$623,1,FALSE),"")</f>
        <v/>
      </c>
    </row>
    <row r="351">
      <c r="A351" s="81" t="inlineStr">
        <is>
          <t>Bo Burger</t>
        </is>
      </c>
      <c r="B351" s="80" t="n">
        <v>39510</v>
      </c>
      <c r="C351" s="85" t="n"/>
      <c r="D351" s="6">
        <f>IFERROR(VLOOKUP($A351,Company_Cat!$C$2:$C$623,1,FALSE),"")</f>
        <v/>
      </c>
    </row>
    <row r="352">
      <c r="A352" s="81" t="inlineStr">
        <is>
          <t>Dann Air</t>
        </is>
      </c>
      <c r="B352" s="80" t="n">
        <v>39500</v>
      </c>
      <c r="C352" s="85" t="n"/>
      <c r="D352" s="6">
        <f>IFERROR(VLOOKUP($A352,Company_Cat!$C$2:$C$623,1,FALSE),"")</f>
        <v/>
      </c>
    </row>
    <row r="353">
      <c r="A353" s="79" t="inlineStr">
        <is>
          <t>FUGRO</t>
        </is>
      </c>
      <c r="B353" s="80" t="n">
        <v>39497</v>
      </c>
      <c r="C353" s="85" t="n"/>
      <c r="D353" s="6">
        <f>IFERROR(VLOOKUP($A353,Company_Cat!$C$2:$C$623,1,FALSE),"")</f>
        <v/>
      </c>
    </row>
    <row r="354">
      <c r="A354" s="81" t="inlineStr">
        <is>
          <t>Supertech</t>
        </is>
      </c>
      <c r="B354" s="80" t="n">
        <v>39492</v>
      </c>
      <c r="C354" s="85" t="n"/>
      <c r="D354" s="6">
        <f>IFERROR(VLOOKUP($A354,Company_Cat!$C$2:$C$623,1,FALSE),"")</f>
        <v/>
      </c>
    </row>
    <row r="355">
      <c r="A355" s="79" t="inlineStr">
        <is>
          <t>TAS</t>
        </is>
      </c>
      <c r="B355" s="80" t="n">
        <v>39461</v>
      </c>
      <c r="C355" s="85" t="n"/>
      <c r="D355" s="6">
        <f>IFERROR(VLOOKUP($A355,Company_Cat!$C$2:$C$623,1,FALSE),"")</f>
        <v/>
      </c>
    </row>
    <row r="356">
      <c r="A356" s="81" t="inlineStr">
        <is>
          <t>Sud-Avia</t>
        </is>
      </c>
      <c r="B356" s="80" t="n">
        <v>39426</v>
      </c>
      <c r="C356" s="85" t="n"/>
      <c r="D356" s="6">
        <f>IFERROR(VLOOKUP($A356,Company_Cat!$C$2:$C$623,1,FALSE),"")</f>
        <v/>
      </c>
    </row>
    <row r="357">
      <c r="A357" s="79" t="inlineStr">
        <is>
          <t>ms BMW Motorsport</t>
        </is>
      </c>
      <c r="B357" s="80" t="n">
        <v>39391</v>
      </c>
      <c r="C357" s="80" t="n"/>
      <c r="D357" s="6">
        <f>IFERROR(VLOOKUP($A357,Company_Cat!$C$2:$C$623,1,FALSE),"")</f>
        <v/>
      </c>
    </row>
    <row r="358">
      <c r="A358" s="82" t="inlineStr">
        <is>
          <t>ARNO</t>
        </is>
      </c>
      <c r="B358" s="83" t="n">
        <v>39360</v>
      </c>
      <c r="C358" s="86" t="n"/>
      <c r="D358" s="6">
        <f>IFERROR(VLOOKUP($A358,Company_Cat!$C$2:$C$623,1,FALSE),"")</f>
        <v/>
      </c>
    </row>
    <row r="359">
      <c r="A359" s="79" t="inlineStr">
        <is>
          <t>Sefofane Botswana</t>
        </is>
      </c>
      <c r="B359" s="80" t="n">
        <v>39282</v>
      </c>
      <c r="C359" s="85" t="n"/>
      <c r="D359" s="6">
        <f>IFERROR(VLOOKUP($A359,Company_Cat!$C$2:$C$623,1,FALSE),"")</f>
        <v/>
      </c>
    </row>
    <row r="360">
      <c r="A360" s="79" t="inlineStr">
        <is>
          <t>Oryx</t>
        </is>
      </c>
      <c r="B360" s="80" t="n">
        <v>39279</v>
      </c>
      <c r="C360" s="85" t="n"/>
      <c r="D360" s="6">
        <f>IFERROR(VLOOKUP($A360,Company_Cat!$C$2:$C$623,1,FALSE),"")</f>
        <v/>
      </c>
    </row>
    <row r="361">
      <c r="A361" s="81" t="inlineStr">
        <is>
          <t>Stary Pty(Ltd)</t>
        </is>
      </c>
      <c r="B361" s="80" t="n">
        <v>39237</v>
      </c>
      <c r="C361" s="85" t="n"/>
      <c r="D361" s="6">
        <f>IFERROR(VLOOKUP($A361,Company_Cat!$C$2:$C$623,1,FALSE),"")</f>
        <v/>
      </c>
    </row>
    <row r="362">
      <c r="A362" s="81" t="inlineStr">
        <is>
          <t>Afos</t>
        </is>
      </c>
      <c r="B362" s="80" t="n">
        <v>39182</v>
      </c>
      <c r="C362" s="85" t="n"/>
      <c r="D362" s="6">
        <f>IFERROR(VLOOKUP($A362,Company_Cat!$C$2:$C$623,1,FALSE),"")</f>
        <v/>
      </c>
    </row>
    <row r="363">
      <c r="A363" s="81" t="inlineStr">
        <is>
          <t>Foster Aero International</t>
        </is>
      </c>
      <c r="B363" s="80" t="n">
        <v>39140</v>
      </c>
      <c r="C363" s="85" t="n"/>
      <c r="D363" s="6">
        <f>IFERROR(VLOOKUP($A363,Company_Cat!$C$2:$C$623,1,FALSE),"")</f>
        <v/>
      </c>
    </row>
    <row r="364">
      <c r="A364" s="81" t="inlineStr">
        <is>
          <t>East Cape Aviation</t>
        </is>
      </c>
      <c r="B364" s="80" t="n">
        <v>39115</v>
      </c>
      <c r="C364" s="85" t="n"/>
      <c r="D364" s="6">
        <f>IFERROR(VLOOKUP($A364,Company_Cat!$C$2:$C$623,1,FALSE),"")</f>
        <v/>
      </c>
    </row>
    <row r="365">
      <c r="A365" s="79" t="inlineStr">
        <is>
          <t>Executive Helicopters</t>
        </is>
      </c>
      <c r="B365" s="80" t="n">
        <v>39097</v>
      </c>
      <c r="C365" s="85" t="n"/>
      <c r="D365" s="6">
        <f>IFERROR(VLOOKUP($A365,Company_Cat!$C$2:$C$623,1,FALSE),"")</f>
        <v/>
      </c>
    </row>
    <row r="366">
      <c r="A366" s="81" t="inlineStr">
        <is>
          <t>le roux</t>
        </is>
      </c>
      <c r="B366" s="80" t="n">
        <v>39097</v>
      </c>
      <c r="C366" s="85" t="n"/>
      <c r="D366" s="6">
        <f>IFERROR(VLOOKUP($A366,Company_Cat!$C$2:$C$623,1,FALSE),"")</f>
        <v/>
      </c>
    </row>
    <row r="367">
      <c r="A367" s="81" t="inlineStr">
        <is>
          <t>Welco Air Services</t>
        </is>
      </c>
      <c r="B367" s="80" t="n">
        <v>39058</v>
      </c>
      <c r="C367" s="80" t="n"/>
      <c r="D367" s="6">
        <f>IFERROR(VLOOKUP($A367,Company_Cat!$C$2:$C$623,1,FALSE),"")</f>
        <v/>
      </c>
    </row>
    <row r="368">
      <c r="A368" s="79" t="inlineStr">
        <is>
          <t>W.A.T E/Rand Maint cc</t>
        </is>
      </c>
      <c r="B368" s="80" t="n">
        <v>38987</v>
      </c>
      <c r="C368" s="85" t="n"/>
      <c r="D368" s="6">
        <f>IFERROR(VLOOKUP($A368,Company_Cat!$C$2:$C$623,1,FALSE),"")</f>
        <v/>
      </c>
    </row>
    <row r="369">
      <c r="A369" s="81" t="inlineStr">
        <is>
          <t>Sabian Air</t>
        </is>
      </c>
      <c r="B369" s="80" t="n">
        <v>38971</v>
      </c>
      <c r="C369" s="85" t="n"/>
      <c r="D369" s="6">
        <f>IFERROR(VLOOKUP($A369,Company_Cat!$C$2:$C$623,1,FALSE),"")</f>
        <v/>
      </c>
    </row>
    <row r="370">
      <c r="A370" s="81" t="inlineStr">
        <is>
          <t>Tramon Air</t>
        </is>
      </c>
      <c r="B370" s="80" t="n">
        <v>38914</v>
      </c>
      <c r="C370" s="85" t="n"/>
      <c r="D370" s="6">
        <f>IFERROR(VLOOKUP($A370,Company_Cat!$C$2:$C$623,1,FALSE),"")</f>
        <v/>
      </c>
    </row>
    <row r="371">
      <c r="A371" s="81" t="inlineStr">
        <is>
          <t>Jeff Levy</t>
        </is>
      </c>
      <c r="B371" s="80" t="n">
        <v>38834</v>
      </c>
      <c r="C371" s="85" t="n"/>
      <c r="D371" s="6">
        <f>IFERROR(VLOOKUP($A371,Company_Cat!$C$2:$C$623,1,FALSE),"")</f>
        <v/>
      </c>
    </row>
    <row r="372">
      <c r="A372" s="79" t="inlineStr">
        <is>
          <t>Aeronexus</t>
        </is>
      </c>
      <c r="B372" s="80" t="n">
        <v>38818</v>
      </c>
      <c r="C372" s="80" t="n"/>
      <c r="D372" s="6">
        <f>IFERROR(VLOOKUP($A372,Company_Cat!$C$2:$C$623,1,FALSE),"")</f>
        <v/>
      </c>
    </row>
    <row r="373">
      <c r="A373" s="81" t="inlineStr">
        <is>
          <t>Air Cape / taboo trading</t>
        </is>
      </c>
      <c r="B373" s="80" t="n">
        <v>38817</v>
      </c>
      <c r="C373" s="85" t="n"/>
      <c r="D373" s="6">
        <f>IFERROR(VLOOKUP($A373,Company_Cat!$C$2:$C$623,1,FALSE),"")</f>
        <v/>
      </c>
    </row>
    <row r="374">
      <c r="A374" s="79" t="inlineStr">
        <is>
          <t>Norse Air</t>
        </is>
      </c>
      <c r="B374" s="80" t="n">
        <v>38776</v>
      </c>
      <c r="C374" s="85" t="n"/>
      <c r="D374" s="6">
        <f>IFERROR(VLOOKUP($A374,Company_Cat!$C$2:$C$623,1,FALSE),"")</f>
        <v/>
      </c>
    </row>
    <row r="375">
      <c r="A375" s="81" t="inlineStr">
        <is>
          <t>Nelair</t>
        </is>
      </c>
      <c r="B375" s="80" t="n">
        <v>38764</v>
      </c>
      <c r="C375" s="85" t="n"/>
      <c r="D375" s="6">
        <f>IFERROR(VLOOKUP($A375,Company_Cat!$C$2:$C$623,1,FALSE),"")</f>
        <v/>
      </c>
    </row>
    <row r="376">
      <c r="A376" s="79" t="inlineStr">
        <is>
          <t>Aero Energy</t>
        </is>
      </c>
      <c r="B376" s="80" t="n">
        <v>38737</v>
      </c>
      <c r="C376" s="85" t="n"/>
      <c r="D376" s="6">
        <f>IFERROR(VLOOKUP($A376,Company_Cat!$C$2:$C$623,1,FALSE),"")</f>
        <v/>
      </c>
    </row>
    <row r="377">
      <c r="A377" s="79" t="inlineStr">
        <is>
          <t>VSA Aviation Pty Ltd</t>
        </is>
      </c>
      <c r="B377" s="80" t="n">
        <v>38735</v>
      </c>
      <c r="C377" s="85" t="n"/>
      <c r="D377" s="6">
        <f>IFERROR(VLOOKUP($A377,Company_Cat!$C$2:$C$623,1,FALSE),"")</f>
        <v/>
      </c>
    </row>
    <row r="378">
      <c r="A378" s="79" t="inlineStr">
        <is>
          <t>Speed Air Maintenance</t>
        </is>
      </c>
      <c r="B378" s="80" t="n">
        <v>38681</v>
      </c>
      <c r="C378" s="85" t="n"/>
      <c r="D378" s="6">
        <f>IFERROR(VLOOKUP($A378,Company_Cat!$C$2:$C$623,1,FALSE),"")</f>
        <v/>
      </c>
    </row>
    <row r="379">
      <c r="A379" s="81" t="inlineStr">
        <is>
          <t>Lastrucci</t>
        </is>
      </c>
      <c r="B379" s="80" t="n">
        <v>38677</v>
      </c>
      <c r="C379" s="85" t="n"/>
      <c r="D379" s="6">
        <f>IFERROR(VLOOKUP($A379,Company_Cat!$C$2:$C$623,1,FALSE),"")</f>
        <v/>
      </c>
    </row>
    <row r="380">
      <c r="A380" s="79" t="inlineStr">
        <is>
          <t>CC Richards (Aviation) cc</t>
        </is>
      </c>
      <c r="B380" s="80" t="n">
        <v>38596</v>
      </c>
      <c r="C380" s="85" t="n"/>
      <c r="D380" s="6">
        <f>IFERROR(VLOOKUP($A380,Company_Cat!$C$2:$C$623,1,FALSE),"")</f>
        <v/>
      </c>
    </row>
    <row r="381">
      <c r="A381" s="81" t="inlineStr">
        <is>
          <t>Kalahari Air Services</t>
        </is>
      </c>
      <c r="B381" s="80" t="n">
        <v>38560</v>
      </c>
      <c r="C381" s="85" t="n"/>
      <c r="D381" s="6">
        <f>IFERROR(VLOOKUP($A381,Company_Cat!$C$2:$C$623,1,FALSE),"")</f>
        <v/>
      </c>
    </row>
    <row r="382">
      <c r="A382" s="81" t="inlineStr">
        <is>
          <t>GAL Global avia</t>
        </is>
      </c>
      <c r="B382" s="80" t="n">
        <v>38543</v>
      </c>
      <c r="C382" s="85" t="n"/>
      <c r="D382" s="6">
        <f>IFERROR(VLOOKUP($A382,Company_Cat!$C$2:$C$623,1,FALSE),"")</f>
        <v/>
      </c>
    </row>
    <row r="383">
      <c r="A383" s="82" t="inlineStr">
        <is>
          <t>comav</t>
        </is>
      </c>
      <c r="B383" s="83" t="n">
        <v>38502</v>
      </c>
      <c r="C383" s="86" t="n"/>
      <c r="D383" s="6">
        <f>IFERROR(VLOOKUP($A383,Company_Cat!$C$2:$C$623,1,FALSE),"")</f>
        <v/>
      </c>
    </row>
    <row r="384">
      <c r="A384" s="79" t="inlineStr">
        <is>
          <t>Midwest Aviation</t>
        </is>
      </c>
      <c r="B384" s="80" t="n">
        <v>38502</v>
      </c>
      <c r="C384" s="85" t="n"/>
      <c r="D384" s="6">
        <f>IFERROR(VLOOKUP($A384,Company_Cat!$C$2:$C$623,1,FALSE),"")</f>
        <v/>
      </c>
    </row>
    <row r="385">
      <c r="A385" s="81" t="inlineStr">
        <is>
          <t>FAAircraft</t>
        </is>
      </c>
      <c r="B385" s="80" t="n">
        <v>38481</v>
      </c>
      <c r="C385" s="85" t="n"/>
      <c r="D385" s="6">
        <f>IFERROR(VLOOKUP($A385,Company_Cat!$C$2:$C$623,1,FALSE),"")</f>
        <v/>
      </c>
    </row>
    <row r="386">
      <c r="A386" s="79" t="inlineStr">
        <is>
          <t>ms Macdonald Motorsport</t>
        </is>
      </c>
      <c r="B386" s="80" t="n">
        <v>38456</v>
      </c>
      <c r="C386" s="80" t="n"/>
      <c r="D386" s="6">
        <f>IFERROR(VLOOKUP($A386,Company_Cat!$C$2:$C$623,1,FALSE),"")</f>
        <v/>
      </c>
    </row>
    <row r="387">
      <c r="A387" s="79" t="inlineStr">
        <is>
          <t>Aviation Business Center</t>
        </is>
      </c>
      <c r="B387" s="80" t="n">
        <v>38446</v>
      </c>
      <c r="C387" s="85" t="n"/>
      <c r="D387" s="6">
        <f>IFERROR(VLOOKUP($A387,Company_Cat!$C$2:$C$623,1,FALSE),"")</f>
        <v/>
      </c>
    </row>
    <row r="388">
      <c r="A388" s="81" t="inlineStr">
        <is>
          <t>credit fin fantini</t>
        </is>
      </c>
      <c r="B388" s="80" t="n">
        <v>38425</v>
      </c>
      <c r="C388" s="85" t="n"/>
      <c r="D388" s="6">
        <f>IFERROR(VLOOKUP($A388,Company_Cat!$C$2:$C$623,1,FALSE),"")</f>
        <v/>
      </c>
    </row>
    <row r="389">
      <c r="A389" s="81" t="inlineStr">
        <is>
          <t>nu wave marine</t>
        </is>
      </c>
      <c r="B389" s="80" t="n">
        <v>38400</v>
      </c>
      <c r="C389" s="85" t="n"/>
      <c r="D389" s="6">
        <f>IFERROR(VLOOKUP($A389,Company_Cat!$C$2:$C$623,1,FALSE),"")</f>
        <v/>
      </c>
    </row>
    <row r="390">
      <c r="A390" s="79" t="inlineStr">
        <is>
          <t>ms Wayne porche</t>
        </is>
      </c>
      <c r="B390" s="80" t="n">
        <v>38371</v>
      </c>
      <c r="C390" s="80" t="n"/>
      <c r="D390" s="6">
        <f>IFERROR(VLOOKUP($A390,Company_Cat!$C$2:$C$623,1,FALSE),"")</f>
        <v/>
      </c>
    </row>
    <row r="391">
      <c r="A391" s="81" t="inlineStr">
        <is>
          <t>Rub-Con</t>
        </is>
      </c>
      <c r="B391" s="80" t="n">
        <v>38370</v>
      </c>
      <c r="C391" s="85" t="n"/>
      <c r="D391" s="6">
        <f>IFERROR(VLOOKUP($A391,Company_Cat!$C$2:$C$623,1,FALSE),"")</f>
        <v/>
      </c>
    </row>
    <row r="392">
      <c r="A392" s="79" t="inlineStr">
        <is>
          <t>Aeromarine</t>
        </is>
      </c>
      <c r="B392" s="80" t="n">
        <v>38309</v>
      </c>
      <c r="C392" s="85" t="n"/>
      <c r="D392" s="6">
        <f>IFERROR(VLOOKUP($A392,Company_Cat!$C$2:$C$623,1,FALSE),"")</f>
        <v/>
      </c>
    </row>
    <row r="393">
      <c r="A393" s="79" t="inlineStr">
        <is>
          <t>Fields Airmotive</t>
        </is>
      </c>
      <c r="B393" s="80" t="n">
        <v>38301</v>
      </c>
      <c r="C393" s="80" t="n"/>
      <c r="D393" s="6">
        <f>IFERROR(VLOOKUP($A393,Company_Cat!$C$2:$C$623,1,FALSE),"")</f>
        <v/>
      </c>
    </row>
    <row r="394">
      <c r="A394" s="79" t="inlineStr">
        <is>
          <t>I R S Airlines</t>
        </is>
      </c>
      <c r="B394" s="80" t="n">
        <v>38250</v>
      </c>
      <c r="C394" s="85" t="n"/>
      <c r="D394" s="6">
        <f>IFERROR(VLOOKUP($A394,Company_Cat!$C$2:$C$623,1,FALSE),"")</f>
        <v/>
      </c>
    </row>
    <row r="395">
      <c r="A395" s="81" t="inlineStr">
        <is>
          <t>Eurocopter SA</t>
        </is>
      </c>
      <c r="B395" s="80" t="n">
        <v>38249</v>
      </c>
      <c r="C395" s="85" t="n"/>
      <c r="D395" s="6">
        <f>IFERROR(VLOOKUP($A395,Company_Cat!$C$2:$C$623,1,FALSE),"")</f>
        <v/>
      </c>
    </row>
    <row r="396">
      <c r="A396" s="79" t="inlineStr">
        <is>
          <t>Aerocam (Pty) Ltd</t>
        </is>
      </c>
      <c r="B396" s="80" t="n">
        <v>38247</v>
      </c>
      <c r="C396" s="85" t="n"/>
      <c r="D396" s="6">
        <f>IFERROR(VLOOKUP($A396,Company_Cat!$C$2:$C$623,1,FALSE),"")</f>
        <v/>
      </c>
    </row>
    <row r="397">
      <c r="A397" s="79" t="inlineStr">
        <is>
          <t>Learn 2 Fly</t>
        </is>
      </c>
      <c r="B397" s="80" t="n">
        <v>38239</v>
      </c>
      <c r="C397" s="85" t="n"/>
      <c r="D397" s="6">
        <f>IFERROR(VLOOKUP($A397,Company_Cat!$C$2:$C$623,1,FALSE),"")</f>
        <v/>
      </c>
    </row>
    <row r="398">
      <c r="A398" s="81" t="inlineStr">
        <is>
          <t>CCA Maintainance</t>
        </is>
      </c>
      <c r="B398" s="80" t="n">
        <v>38224</v>
      </c>
      <c r="C398" s="85" t="n"/>
      <c r="D398" s="6">
        <f>IFERROR(VLOOKUP($A398,Company_Cat!$C$2:$C$623,1,FALSE),"")</f>
        <v/>
      </c>
    </row>
    <row r="399">
      <c r="A399" s="81" t="inlineStr">
        <is>
          <t>Mallards Boating cc</t>
        </is>
      </c>
      <c r="B399" s="80" t="n">
        <v>38196</v>
      </c>
      <c r="C399" s="85" t="n"/>
      <c r="D399" s="6">
        <f>IFERROR(VLOOKUP($A399,Company_Cat!$C$2:$C$623,1,FALSE),"")</f>
        <v/>
      </c>
    </row>
    <row r="400">
      <c r="A400" s="81" t="inlineStr">
        <is>
          <t>Imperial Bank</t>
        </is>
      </c>
      <c r="B400" s="80" t="n">
        <v>38166</v>
      </c>
      <c r="C400" s="85" t="n"/>
      <c r="D400" s="6">
        <f>IFERROR(VLOOKUP($A400,Company_Cat!$C$2:$C$623,1,FALSE),"")</f>
        <v/>
      </c>
    </row>
    <row r="401">
      <c r="A401" s="79" t="inlineStr">
        <is>
          <t>ms BMW Kaye Eddie</t>
        </is>
      </c>
      <c r="B401" s="80" t="n">
        <v>38162</v>
      </c>
      <c r="C401" s="80" t="n"/>
      <c r="D401" s="6">
        <f>IFERROR(VLOOKUP($A401,Company_Cat!$C$2:$C$623,1,FALSE),"")</f>
        <v/>
      </c>
    </row>
    <row r="402">
      <c r="A402" s="81" t="inlineStr">
        <is>
          <t>Richard Leask</t>
        </is>
      </c>
      <c r="B402" s="80" t="n">
        <v>38134</v>
      </c>
      <c r="C402" s="85" t="n"/>
      <c r="D402" s="6">
        <f>IFERROR(VLOOKUP($A402,Company_Cat!$C$2:$C$623,1,FALSE),"")</f>
        <v/>
      </c>
    </row>
    <row r="403">
      <c r="A403" s="81" t="inlineStr">
        <is>
          <t>Shelton</t>
        </is>
      </c>
      <c r="B403" s="80" t="n">
        <v>38126</v>
      </c>
      <c r="C403" s="85" t="n"/>
      <c r="D403" s="6">
        <f>IFERROR(VLOOKUP($A403,Company_Cat!$C$2:$C$623,1,FALSE),"")</f>
        <v/>
      </c>
    </row>
    <row r="404">
      <c r="A404" s="79" t="inlineStr">
        <is>
          <t>Chris Joubert</t>
        </is>
      </c>
      <c r="B404" s="80" t="n">
        <v>38118</v>
      </c>
      <c r="C404" s="85" t="n"/>
      <c r="D404" s="6">
        <f>IFERROR(VLOOKUP($A404,Company_Cat!$C$2:$C$623,1,FALSE),"")</f>
        <v/>
      </c>
    </row>
    <row r="405">
      <c r="A405" s="81" t="inlineStr">
        <is>
          <t>ms Johan v vel PORCHE</t>
        </is>
      </c>
      <c r="B405" s="80" t="n">
        <v>38095</v>
      </c>
      <c r="C405" s="80" t="n"/>
      <c r="D405" s="6">
        <f>IFERROR(VLOOKUP($A405,Company_Cat!$C$2:$C$623,1,FALSE),"")</f>
        <v/>
      </c>
    </row>
    <row r="406">
      <c r="A406" s="79" t="inlineStr">
        <is>
          <t>Mc Carthy</t>
        </is>
      </c>
      <c r="B406" s="80" t="n">
        <v>38078</v>
      </c>
      <c r="C406" s="85" t="n"/>
      <c r="D406" s="6">
        <f>IFERROR(VLOOKUP($A406,Company_Cat!$C$2:$C$623,1,FALSE),"")</f>
        <v/>
      </c>
    </row>
    <row r="407">
      <c r="A407" s="81" t="inlineStr">
        <is>
          <t>vics</t>
        </is>
      </c>
      <c r="B407" s="80" t="n">
        <v>38065</v>
      </c>
      <c r="C407" s="85" t="n"/>
      <c r="D407" s="6">
        <f>IFERROR(VLOOKUP($A407,Company_Cat!$C$2:$C$623,1,FALSE),"")</f>
        <v/>
      </c>
    </row>
    <row r="408">
      <c r="A408" s="79" t="inlineStr">
        <is>
          <t>boatyard</t>
        </is>
      </c>
      <c r="B408" s="80" t="n">
        <v>38056</v>
      </c>
      <c r="C408" s="85" t="n"/>
      <c r="D408" s="6">
        <f>IFERROR(VLOOKUP($A408,Company_Cat!$C$2:$C$623,1,FALSE),"")</f>
        <v/>
      </c>
    </row>
    <row r="409">
      <c r="A409" s="81" t="inlineStr">
        <is>
          <t>P J Aeroservices</t>
        </is>
      </c>
      <c r="B409" s="80" t="n">
        <v>38055</v>
      </c>
      <c r="C409" s="85" t="n"/>
      <c r="D409" s="6">
        <f>IFERROR(VLOOKUP($A409,Company_Cat!$C$2:$C$623,1,FALSE),"")</f>
        <v/>
      </c>
    </row>
    <row r="410">
      <c r="A410" s="82" t="inlineStr">
        <is>
          <t>Zero Blitz</t>
        </is>
      </c>
      <c r="B410" s="80" t="n">
        <v>38042</v>
      </c>
      <c r="C410" s="85" t="n"/>
      <c r="D410" s="6">
        <f>IFERROR(VLOOKUP($A410,Company_Cat!$C$2:$C$623,1,FALSE),"")</f>
        <v/>
      </c>
    </row>
    <row r="411">
      <c r="A411" s="79" t="inlineStr">
        <is>
          <t>Montana</t>
        </is>
      </c>
      <c r="B411" s="80" t="n">
        <v>38041</v>
      </c>
      <c r="C411" s="85" t="n"/>
      <c r="D411" s="6">
        <f>IFERROR(VLOOKUP($A411,Company_Cat!$C$2:$C$623,1,FALSE),"")</f>
        <v/>
      </c>
    </row>
    <row r="412">
      <c r="A412" s="79" t="inlineStr">
        <is>
          <t>W D W Aircharters cc</t>
        </is>
      </c>
      <c r="B412" s="80" t="n">
        <v>38036</v>
      </c>
      <c r="C412" s="85" t="n"/>
      <c r="D412" s="6">
        <f>IFERROR(VLOOKUP($A412,Company_Cat!$C$2:$C$623,1,FALSE),"")</f>
        <v/>
      </c>
    </row>
    <row r="413">
      <c r="A413" s="79" t="inlineStr">
        <is>
          <t>Flightsure</t>
        </is>
      </c>
      <c r="B413" s="80" t="n">
        <v>38035</v>
      </c>
      <c r="C413" s="80" t="n"/>
      <c r="D413" s="6">
        <f>IFERROR(VLOOKUP($A413,Company_Cat!$C$2:$C$623,1,FALSE),"")</f>
        <v/>
      </c>
    </row>
    <row r="414">
      <c r="A414" s="79" t="inlineStr">
        <is>
          <t>Gro Trade Invest 13</t>
        </is>
      </c>
      <c r="B414" s="80" t="n">
        <v>38034</v>
      </c>
      <c r="C414" s="85" t="n"/>
      <c r="D414" s="6">
        <f>IFERROR(VLOOKUP($A414,Company_Cat!$C$2:$C$623,1,FALSE),"")</f>
        <v/>
      </c>
    </row>
    <row r="415">
      <c r="A415" s="81" t="inlineStr">
        <is>
          <t>Rob Nilius</t>
        </is>
      </c>
      <c r="B415" s="80" t="n">
        <v>38027</v>
      </c>
      <c r="C415" s="85" t="n"/>
      <c r="D415" s="6">
        <f>IFERROR(VLOOKUP($A415,Company_Cat!$C$2:$C$623,1,FALSE),"")</f>
        <v/>
      </c>
    </row>
    <row r="416">
      <c r="A416" s="81" t="inlineStr">
        <is>
          <t>Executive Turbine</t>
        </is>
      </c>
      <c r="B416" s="80" t="n">
        <v>37958</v>
      </c>
      <c r="C416" s="85" t="n"/>
      <c r="D416" s="6">
        <f>IFERROR(VLOOKUP($A416,Company_Cat!$C$2:$C$623,1,FALSE),"")</f>
        <v/>
      </c>
    </row>
    <row r="417">
      <c r="A417" s="79" t="inlineStr">
        <is>
          <t>erol</t>
        </is>
      </c>
      <c r="B417" s="80" t="n">
        <v>37956</v>
      </c>
      <c r="C417" s="85" t="n"/>
      <c r="D417" s="6">
        <f>IFERROR(VLOOKUP($A417,Company_Cat!$C$2:$C$623,1,FALSE),"")</f>
        <v/>
      </c>
    </row>
    <row r="418">
      <c r="A418" s="81" t="inlineStr">
        <is>
          <t>Pieter Kellermman</t>
        </is>
      </c>
      <c r="B418" s="80" t="n">
        <v>37951</v>
      </c>
      <c r="C418" s="85" t="n"/>
      <c r="D418" s="6">
        <f>IFERROR(VLOOKUP($A418,Company_Cat!$C$2:$C$623,1,FALSE),"")</f>
        <v/>
      </c>
    </row>
    <row r="419">
      <c r="A419" s="81" t="inlineStr">
        <is>
          <t>Mobile Air</t>
        </is>
      </c>
      <c r="B419" s="80" t="n">
        <v>37935</v>
      </c>
      <c r="C419" s="85" t="n"/>
      <c r="D419" s="6">
        <f>IFERROR(VLOOKUP($A419,Company_Cat!$C$2:$C$623,1,FALSE),"")</f>
        <v/>
      </c>
    </row>
    <row r="420">
      <c r="A420" s="81" t="inlineStr">
        <is>
          <t>ms Mercedes Williams</t>
        </is>
      </c>
      <c r="B420" s="80" t="n">
        <v>37915</v>
      </c>
      <c r="C420" s="80" t="n"/>
      <c r="D420" s="6">
        <f>IFERROR(VLOOKUP($A420,Company_Cat!$C$2:$C$623,1,FALSE),"")</f>
        <v/>
      </c>
    </row>
    <row r="421">
      <c r="A421" s="79" t="inlineStr">
        <is>
          <t>PU vir CHO</t>
        </is>
      </c>
      <c r="B421" s="80" t="n">
        <v>37907</v>
      </c>
      <c r="C421" s="85" t="n"/>
      <c r="D421" s="6">
        <f>IFERROR(VLOOKUP($A421,Company_Cat!$C$2:$C$623,1,FALSE),"")</f>
        <v/>
      </c>
    </row>
    <row r="422">
      <c r="A422" s="81" t="inlineStr">
        <is>
          <t>ms Nylstroom Toyota</t>
        </is>
      </c>
      <c r="B422" s="80" t="n">
        <v>37899</v>
      </c>
      <c r="C422" s="80" t="n"/>
      <c r="D422" s="6">
        <f>IFERROR(VLOOKUP($A422,Company_Cat!$C$2:$C$623,1,FALSE),"")</f>
        <v/>
      </c>
    </row>
    <row r="423">
      <c r="A423" s="81" t="inlineStr">
        <is>
          <t>Tanglewild</t>
        </is>
      </c>
      <c r="B423" s="80" t="n">
        <v>37893</v>
      </c>
      <c r="C423" s="85" t="n"/>
      <c r="D423" s="6">
        <f>IFERROR(VLOOKUP($A423,Company_Cat!$C$2:$C$623,1,FALSE),"")</f>
        <v/>
      </c>
    </row>
    <row r="424">
      <c r="A424" s="79" t="inlineStr">
        <is>
          <t>Verola Trading</t>
        </is>
      </c>
      <c r="B424" s="80" t="n">
        <v>37866</v>
      </c>
      <c r="C424" s="85" t="n"/>
      <c r="D424" s="6">
        <f>IFERROR(VLOOKUP($A424,Company_Cat!$C$2:$C$623,1,FALSE),"")</f>
        <v/>
      </c>
    </row>
    <row r="425">
      <c r="A425" s="79" t="inlineStr">
        <is>
          <t>Robert du Plooy</t>
        </is>
      </c>
      <c r="B425" s="80" t="n">
        <v>37865</v>
      </c>
      <c r="C425" s="85" t="n"/>
      <c r="D425" s="6">
        <f>IFERROR(VLOOKUP($A425,Company_Cat!$C$2:$C$623,1,FALSE),"")</f>
        <v/>
      </c>
    </row>
    <row r="426">
      <c r="A426" s="81" t="inlineStr">
        <is>
          <t>Bill Greenwood</t>
        </is>
      </c>
      <c r="B426" s="80" t="n">
        <v>37851</v>
      </c>
      <c r="C426" s="85" t="n"/>
      <c r="D426" s="6">
        <f>IFERROR(VLOOKUP($A426,Company_Cat!$C$2:$C$623,1,FALSE),"")</f>
        <v/>
      </c>
    </row>
    <row r="427">
      <c r="A427" s="81" t="inlineStr">
        <is>
          <t>Dion</t>
        </is>
      </c>
      <c r="B427" s="80" t="n">
        <v>37826</v>
      </c>
      <c r="C427" s="85" t="n"/>
      <c r="D427" s="6">
        <f>IFERROR(VLOOKUP($A427,Company_Cat!$C$2:$C$623,1,FALSE),"")</f>
        <v/>
      </c>
    </row>
    <row r="428">
      <c r="A428" s="79" t="inlineStr">
        <is>
          <t>Kenya</t>
        </is>
      </c>
      <c r="B428" s="80" t="n">
        <v>37809</v>
      </c>
      <c r="C428" s="85" t="n"/>
      <c r="D428" s="6">
        <f>IFERROR(VLOOKUP($A428,Company_Cat!$C$2:$C$623,1,FALSE),"")</f>
        <v/>
      </c>
    </row>
    <row r="429">
      <c r="A429" s="81" t="inlineStr">
        <is>
          <t>Grinaker visagie</t>
        </is>
      </c>
      <c r="B429" s="80" t="n">
        <v>37795</v>
      </c>
      <c r="C429" s="85" t="n"/>
      <c r="D429" s="6">
        <f>IFERROR(VLOOKUP($A429,Company_Cat!$C$2:$C$623,1,FALSE),"")</f>
        <v/>
      </c>
    </row>
    <row r="430">
      <c r="A430" s="81" t="inlineStr">
        <is>
          <t>ms Micek</t>
        </is>
      </c>
      <c r="B430" s="80" t="n">
        <v>37795</v>
      </c>
      <c r="C430" s="80" t="n"/>
      <c r="D430" s="6">
        <f>IFERROR(VLOOKUP($A430,Company_Cat!$C$2:$C$623,1,FALSE),"")</f>
        <v/>
      </c>
    </row>
    <row r="431">
      <c r="A431" s="79" t="inlineStr">
        <is>
          <t>Southern Av Fin</t>
        </is>
      </c>
      <c r="B431" s="80" t="n">
        <v>37781</v>
      </c>
      <c r="C431" s="85" t="n"/>
      <c r="D431" s="6">
        <f>IFERROR(VLOOKUP($A431,Company_Cat!$C$2:$C$623,1,FALSE),"")</f>
        <v/>
      </c>
    </row>
    <row r="432">
      <c r="A432" s="79" t="inlineStr">
        <is>
          <t>Roy Aviation</t>
        </is>
      </c>
      <c r="B432" s="80" t="n">
        <v>37771</v>
      </c>
      <c r="C432" s="85" t="n"/>
      <c r="D432" s="6">
        <f>IFERROR(VLOOKUP($A432,Company_Cat!$C$2:$C$623,1,FALSE),"")</f>
        <v/>
      </c>
    </row>
    <row r="433">
      <c r="A433" s="79" t="inlineStr">
        <is>
          <t>Domex Helmets</t>
        </is>
      </c>
      <c r="B433" s="80" t="n">
        <v>37755</v>
      </c>
      <c r="C433" s="85" t="n"/>
      <c r="D433" s="6">
        <f>IFERROR(VLOOKUP($A433,Company_Cat!$C$2:$C$623,1,FALSE),"")</f>
        <v/>
      </c>
    </row>
    <row r="434">
      <c r="A434" s="79" t="inlineStr">
        <is>
          <t>Aftex</t>
        </is>
      </c>
      <c r="B434" s="80" t="n">
        <v>37752</v>
      </c>
      <c r="C434" s="85" t="n"/>
      <c r="D434" s="6">
        <f>IFERROR(VLOOKUP($A434,Company_Cat!$C$2:$C$623,1,FALSE),"")</f>
        <v/>
      </c>
    </row>
    <row r="435">
      <c r="A435" s="79" t="inlineStr">
        <is>
          <t>Big Sky Aviation strassheim</t>
        </is>
      </c>
      <c r="B435" s="80" t="n">
        <v>37741</v>
      </c>
      <c r="C435" s="85" t="n"/>
      <c r="D435" s="6">
        <f>IFERROR(VLOOKUP($A435,Company_Cat!$C$2:$C$623,1,FALSE),"")</f>
        <v/>
      </c>
    </row>
    <row r="436">
      <c r="A436" s="79" t="inlineStr">
        <is>
          <t>ARC</t>
        </is>
      </c>
      <c r="B436" s="80" t="n">
        <v>37734</v>
      </c>
      <c r="C436" s="85" t="n"/>
      <c r="D436" s="6">
        <f>IFERROR(VLOOKUP($A436,Company_Cat!$C$2:$C$623,1,FALSE),"")</f>
        <v/>
      </c>
    </row>
    <row r="437">
      <c r="A437" s="81" t="inlineStr">
        <is>
          <t>Andre' Nel</t>
        </is>
      </c>
      <c r="B437" s="80" t="n">
        <v>37713</v>
      </c>
      <c r="C437" s="85" t="n"/>
      <c r="D437" s="6">
        <f>IFERROR(VLOOKUP($A437,Company_Cat!$C$2:$C$623,1,FALSE),"")</f>
        <v/>
      </c>
    </row>
    <row r="438">
      <c r="A438" s="79" t="inlineStr">
        <is>
          <t>Buck Rogers Aviation cc</t>
        </is>
      </c>
      <c r="B438" s="80" t="n">
        <v>37713</v>
      </c>
      <c r="C438" s="85" t="n"/>
      <c r="D438" s="6">
        <f>IFERROR(VLOOKUP($A438,Company_Cat!$C$2:$C$623,1,FALSE),"")</f>
        <v/>
      </c>
    </row>
    <row r="439">
      <c r="A439" s="79" t="inlineStr">
        <is>
          <t>CNJ</t>
        </is>
      </c>
      <c r="B439" s="80" t="n">
        <v>37696</v>
      </c>
      <c r="C439" s="85" t="n"/>
      <c r="D439" s="6">
        <f>IFERROR(VLOOKUP($A439,Company_Cat!$C$2:$C$623,1,FALSE),"")</f>
        <v/>
      </c>
    </row>
    <row r="440">
      <c r="A440" s="81" t="inlineStr">
        <is>
          <t>Waterworld</t>
        </is>
      </c>
      <c r="B440" s="80" t="n">
        <v>37696</v>
      </c>
      <c r="C440" s="85" t="n"/>
      <c r="D440" s="6">
        <f>IFERROR(VLOOKUP($A440,Company_Cat!$C$2:$C$623,1,FALSE),"")</f>
        <v/>
      </c>
    </row>
    <row r="441">
      <c r="A441" s="79" t="inlineStr">
        <is>
          <t>Swiss Av Pty (Ltd)</t>
        </is>
      </c>
      <c r="B441" s="80" t="n">
        <v>37658</v>
      </c>
      <c r="C441" s="85" t="n"/>
      <c r="D441" s="6">
        <f>IFERROR(VLOOKUP($A441,Company_Cat!$C$2:$C$623,1,FALSE),"")</f>
        <v/>
      </c>
    </row>
    <row r="442">
      <c r="A442" s="79" t="inlineStr">
        <is>
          <t>J Rosenzweig</t>
        </is>
      </c>
      <c r="B442" s="80" t="n">
        <v>37657</v>
      </c>
      <c r="C442" s="85" t="n"/>
      <c r="D442" s="6">
        <f>IFERROR(VLOOKUP($A442,Company_Cat!$C$2:$C$623,1,FALSE),"")</f>
        <v/>
      </c>
    </row>
    <row r="443">
      <c r="A443" s="81" t="inlineStr">
        <is>
          <t>K V Graan</t>
        </is>
      </c>
      <c r="B443" s="80" t="n">
        <v>37642</v>
      </c>
      <c r="C443" s="85" t="n"/>
      <c r="D443" s="6">
        <f>IFERROR(VLOOKUP($A443,Company_Cat!$C$2:$C$623,1,FALSE),"")</f>
        <v/>
      </c>
    </row>
    <row r="444">
      <c r="A444" s="79" t="inlineStr">
        <is>
          <t>Sapphire Air</t>
        </is>
      </c>
      <c r="B444" s="80" t="n">
        <v>37635</v>
      </c>
      <c r="C444" s="85" t="n"/>
      <c r="D444" s="6">
        <f>IFERROR(VLOOKUP($A444,Company_Cat!$C$2:$C$623,1,FALSE),"")</f>
        <v/>
      </c>
    </row>
    <row r="445">
      <c r="A445" s="79" t="inlineStr">
        <is>
          <t>Platberg Bote</t>
        </is>
      </c>
      <c r="B445" s="80" t="n">
        <v>37603</v>
      </c>
      <c r="C445" s="85" t="n"/>
      <c r="D445" s="6">
        <f>IFERROR(VLOOKUP($A445,Company_Cat!$C$2:$C$623,1,FALSE),"")</f>
        <v/>
      </c>
    </row>
    <row r="446">
      <c r="A446" s="81" t="inlineStr">
        <is>
          <t>C J Africa</t>
        </is>
      </c>
      <c r="B446" s="80" t="n">
        <v>37602</v>
      </c>
      <c r="C446" s="85" t="n"/>
      <c r="D446" s="6">
        <f>IFERROR(VLOOKUP($A446,Company_Cat!$C$2:$C$623,1,FALSE),"")</f>
        <v/>
      </c>
    </row>
    <row r="447">
      <c r="A447" s="81" t="inlineStr">
        <is>
          <t>Legend Aviation p</t>
        </is>
      </c>
      <c r="B447" s="80" t="n">
        <v>37588</v>
      </c>
      <c r="C447" s="85" t="n"/>
      <c r="D447" s="6">
        <f>IFERROR(VLOOKUP($A447,Company_Cat!$C$2:$C$623,1,FALSE),"")</f>
        <v/>
      </c>
    </row>
    <row r="448">
      <c r="A448" s="81" t="inlineStr">
        <is>
          <t>Kinross Motor Engineering</t>
        </is>
      </c>
      <c r="B448" s="80" t="n">
        <v>37539</v>
      </c>
      <c r="C448" s="85" t="n"/>
      <c r="D448" s="6">
        <f>IFERROR(VLOOKUP($A448,Company_Cat!$C$2:$C$623,1,FALSE),"")</f>
        <v/>
      </c>
    </row>
    <row r="449">
      <c r="A449" s="79" t="inlineStr">
        <is>
          <t>Air Hart Aircraft</t>
        </is>
      </c>
      <c r="B449" s="80" t="n">
        <v>37512</v>
      </c>
      <c r="C449" s="80" t="n"/>
      <c r="D449" s="6">
        <f>IFERROR(VLOOKUP($A449,Company_Cat!$C$2:$C$623,1,FALSE),"")</f>
        <v/>
      </c>
    </row>
    <row r="450">
      <c r="A450" s="81" t="inlineStr">
        <is>
          <t>Aircraft Comlpetion Center</t>
        </is>
      </c>
      <c r="B450" s="80" t="n">
        <v>37510</v>
      </c>
      <c r="C450" s="85" t="n"/>
      <c r="D450" s="6">
        <f>IFERROR(VLOOKUP($A450,Company_Cat!$C$2:$C$623,1,FALSE),"")</f>
        <v/>
      </c>
    </row>
    <row r="451">
      <c r="A451" s="81" t="inlineStr">
        <is>
          <t>Ports Air</t>
        </is>
      </c>
      <c r="B451" s="80" t="n">
        <v>37503</v>
      </c>
      <c r="C451" s="85" t="n"/>
      <c r="D451" s="6">
        <f>IFERROR(VLOOKUP($A451,Company_Cat!$C$2:$C$623,1,FALSE),"")</f>
        <v/>
      </c>
    </row>
    <row r="452">
      <c r="A452" s="81" t="inlineStr">
        <is>
          <t>Motor King &amp; Marine</t>
        </is>
      </c>
      <c r="B452" s="80" t="n">
        <v>37490</v>
      </c>
      <c r="C452" s="85" t="n"/>
      <c r="D452" s="6">
        <f>IFERROR(VLOOKUP($A452,Company_Cat!$C$2:$C$623,1,FALSE),"")</f>
        <v/>
      </c>
    </row>
    <row r="453">
      <c r="A453" s="79" t="inlineStr">
        <is>
          <t>Pieter Fourie</t>
        </is>
      </c>
      <c r="B453" s="80" t="n">
        <v>37483</v>
      </c>
      <c r="C453" s="85" t="n"/>
      <c r="D453" s="6">
        <f>IFERROR(VLOOKUP($A453,Company_Cat!$C$2:$C$623,1,FALSE),"")</f>
        <v/>
      </c>
    </row>
    <row r="454">
      <c r="A454" s="81" t="inlineStr">
        <is>
          <t>gert de klerk Turbine versions</t>
        </is>
      </c>
      <c r="B454" s="80" t="n">
        <v>37473</v>
      </c>
      <c r="C454" s="85" t="n"/>
      <c r="D454" s="6">
        <f>IFERROR(VLOOKUP($A454,Company_Cat!$C$2:$C$623,1,FALSE),"")</f>
        <v/>
      </c>
    </row>
    <row r="455">
      <c r="A455" s="79" t="inlineStr">
        <is>
          <t>ferraris</t>
        </is>
      </c>
      <c r="B455" s="80" t="n">
        <v>37459</v>
      </c>
      <c r="C455" s="85" t="n"/>
      <c r="D455" s="6">
        <f>IFERROR(VLOOKUP($A455,Company_Cat!$C$2:$C$623,1,FALSE),"")</f>
        <v/>
      </c>
    </row>
    <row r="456">
      <c r="A456" s="81" t="inlineStr">
        <is>
          <t>Aviation Maintainance Consultants</t>
        </is>
      </c>
      <c r="B456" s="80" t="n">
        <v>37448</v>
      </c>
      <c r="C456" s="85" t="n"/>
      <c r="D456" s="6">
        <f>IFERROR(VLOOKUP($A456,Company_Cat!$C$2:$C$623,1,FALSE),"")</f>
        <v/>
      </c>
    </row>
    <row r="457">
      <c r="A457" s="81" t="inlineStr">
        <is>
          <t>North Star Aviation</t>
        </is>
      </c>
      <c r="B457" s="80" t="n">
        <v>37442</v>
      </c>
      <c r="C457" s="85" t="n"/>
      <c r="D457" s="6">
        <f>IFERROR(VLOOKUP($A457,Company_Cat!$C$2:$C$623,1,FALSE),"")</f>
        <v/>
      </c>
    </row>
    <row r="458">
      <c r="A458" s="79" t="inlineStr">
        <is>
          <t>peter tokarev</t>
        </is>
      </c>
      <c r="B458" s="80" t="n">
        <v>37433</v>
      </c>
      <c r="C458" s="85" t="n"/>
      <c r="D458" s="6">
        <f>IFERROR(VLOOKUP($A458,Company_Cat!$C$2:$C$623,1,FALSE),"")</f>
        <v/>
      </c>
    </row>
    <row r="459">
      <c r="A459" s="81" t="inlineStr">
        <is>
          <t>Golden Wings Aviation</t>
        </is>
      </c>
      <c r="B459" s="80" t="n">
        <v>37419</v>
      </c>
      <c r="C459" s="85" t="n"/>
      <c r="D459" s="6">
        <f>IFERROR(VLOOKUP($A459,Company_Cat!$C$2:$C$623,1,FALSE),"")</f>
        <v/>
      </c>
    </row>
    <row r="460">
      <c r="A460" s="81" t="inlineStr">
        <is>
          <t>Phils, Valet</t>
        </is>
      </c>
      <c r="B460" s="80" t="n">
        <v>37419</v>
      </c>
      <c r="C460" s="85" t="n"/>
      <c r="D460" s="6">
        <f>IFERROR(VLOOKUP($A460,Company_Cat!$C$2:$C$623,1,FALSE),"")</f>
        <v/>
      </c>
    </row>
    <row r="461">
      <c r="A461" s="82" t="inlineStr">
        <is>
          <t>Twin Boats and Trailers</t>
        </is>
      </c>
      <c r="B461" s="80" t="n">
        <v>37386</v>
      </c>
      <c r="C461" s="85" t="n"/>
      <c r="D461" s="6">
        <f>IFERROR(VLOOKUP($A461,Company_Cat!$C$2:$C$623,1,FALSE),"")</f>
        <v/>
      </c>
    </row>
    <row r="462">
      <c r="A462" s="79" t="inlineStr">
        <is>
          <t>Denel Aviation</t>
        </is>
      </c>
      <c r="B462" s="80" t="n">
        <v>37316</v>
      </c>
      <c r="C462" s="80" t="n"/>
      <c r="D462" s="6">
        <f>IFERROR(VLOOKUP($A462,Company_Cat!$C$2:$C$623,1,FALSE),"")</f>
        <v/>
      </c>
    </row>
    <row r="463">
      <c r="A463" s="79" t="inlineStr">
        <is>
          <t>Ndiza</t>
        </is>
      </c>
      <c r="B463" s="80" t="n">
        <v>37301</v>
      </c>
      <c r="C463" s="85" t="n"/>
      <c r="D463" s="6">
        <f>IFERROR(VLOOKUP($A463,Company_Cat!$C$2:$C$623,1,FALSE),"")</f>
        <v/>
      </c>
    </row>
    <row r="464">
      <c r="A464" s="81" t="inlineStr">
        <is>
          <t>brink</t>
        </is>
      </c>
      <c r="B464" s="80" t="n">
        <v>37294</v>
      </c>
      <c r="C464" s="85" t="n"/>
      <c r="D464" s="6">
        <f>IFERROR(VLOOKUP($A464,Company_Cat!$C$2:$C$623,1,FALSE),"")</f>
        <v/>
      </c>
    </row>
    <row r="465">
      <c r="A465" s="79" t="inlineStr">
        <is>
          <t>capstone</t>
        </is>
      </c>
      <c r="B465" s="80" t="n">
        <v>37242</v>
      </c>
      <c r="C465" s="85" t="n"/>
      <c r="D465" s="6">
        <f>IFERROR(VLOOKUP($A465,Company_Cat!$C$2:$C$623,1,FALSE),"")</f>
        <v/>
      </c>
    </row>
    <row r="466">
      <c r="A466" s="82" t="inlineStr">
        <is>
          <t>zulu</t>
        </is>
      </c>
      <c r="B466" s="80" t="n">
        <v>37208</v>
      </c>
      <c r="C466" s="85" t="n"/>
      <c r="D466" s="6">
        <f>IFERROR(VLOOKUP($A466,Company_Cat!$C$2:$C$623,1,FALSE),"")</f>
        <v/>
      </c>
    </row>
    <row r="467">
      <c r="A467" s="81" t="inlineStr">
        <is>
          <t>Bataleur Aviation</t>
        </is>
      </c>
      <c r="B467" s="80" t="n">
        <v>37203</v>
      </c>
      <c r="C467" s="85" t="n"/>
      <c r="D467" s="6">
        <f>IFERROR(VLOOKUP($A467,Company_Cat!$C$2:$C$623,1,FALSE),"")</f>
        <v/>
      </c>
    </row>
    <row r="468">
      <c r="A468" s="81" t="inlineStr">
        <is>
          <t>ITX</t>
        </is>
      </c>
      <c r="B468" s="80" t="n">
        <v>37203</v>
      </c>
      <c r="C468" s="85" t="n"/>
      <c r="D468" s="6">
        <f>IFERROR(VLOOKUP($A468,Company_Cat!$C$2:$C$623,1,FALSE),"")</f>
        <v/>
      </c>
    </row>
    <row r="469">
      <c r="A469" s="79" t="inlineStr">
        <is>
          <t>A N Greeve</t>
        </is>
      </c>
      <c r="B469" s="80" t="n">
        <v>37195</v>
      </c>
      <c r="C469" s="85" t="n"/>
      <c r="D469" s="6">
        <f>IFERROR(VLOOKUP($A469,Company_Cat!$C$2:$C$623,1,FALSE),"")</f>
        <v/>
      </c>
    </row>
    <row r="470">
      <c r="A470" s="81" t="inlineStr">
        <is>
          <t>Bucks Marine</t>
        </is>
      </c>
      <c r="B470" s="80" t="n">
        <v>37194</v>
      </c>
      <c r="C470" s="85" t="n"/>
      <c r="D470" s="6">
        <f>IFERROR(VLOOKUP($A470,Company_Cat!$C$2:$C$623,1,FALSE),"")</f>
        <v/>
      </c>
    </row>
    <row r="471">
      <c r="A471" s="81" t="inlineStr">
        <is>
          <t>MU2</t>
        </is>
      </c>
      <c r="B471" s="80" t="n">
        <v>37186</v>
      </c>
      <c r="C471" s="85" t="n"/>
      <c r="D471" s="6">
        <f>IFERROR(VLOOKUP($A471,Company_Cat!$C$2:$C$623,1,FALSE),"")</f>
        <v/>
      </c>
    </row>
    <row r="472">
      <c r="A472" s="79" t="inlineStr">
        <is>
          <t>Twin City Development (Pty) Ltd</t>
        </is>
      </c>
      <c r="B472" s="80" t="n">
        <v>37179</v>
      </c>
      <c r="C472" s="85" t="n"/>
      <c r="D472" s="6">
        <f>IFERROR(VLOOKUP($A472,Company_Cat!$C$2:$C$623,1,FALSE),"")</f>
        <v/>
      </c>
    </row>
    <row r="473">
      <c r="A473" s="81" t="inlineStr">
        <is>
          <t>exec aerospace</t>
        </is>
      </c>
      <c r="B473" s="80" t="n">
        <v>37166</v>
      </c>
      <c r="C473" s="85" t="n"/>
      <c r="D473" s="6">
        <f>IFERROR(VLOOKUP($A473,Company_Cat!$C$2:$C$623,1,FALSE),"")</f>
        <v/>
      </c>
    </row>
    <row r="474">
      <c r="A474" s="81" t="inlineStr">
        <is>
          <t>Gus Aviation</t>
        </is>
      </c>
      <c r="B474" s="80" t="n">
        <v>37161</v>
      </c>
      <c r="C474" s="85" t="n"/>
      <c r="D474" s="6">
        <f>IFERROR(VLOOKUP($A474,Company_Cat!$C$2:$C$623,1,FALSE),"")</f>
        <v/>
      </c>
    </row>
    <row r="475">
      <c r="A475" s="79" t="inlineStr">
        <is>
          <t>stu</t>
        </is>
      </c>
      <c r="B475" s="80" t="n">
        <v>37159</v>
      </c>
      <c r="C475" s="85" t="n"/>
      <c r="D475" s="6">
        <f>IFERROR(VLOOKUP($A475,Company_Cat!$C$2:$C$623,1,FALSE),"")</f>
        <v/>
      </c>
    </row>
    <row r="476">
      <c r="A476" s="79" t="inlineStr">
        <is>
          <t>louisa</t>
        </is>
      </c>
      <c r="B476" s="80" t="n">
        <v>37145</v>
      </c>
      <c r="C476" s="85" t="n"/>
      <c r="D476" s="6">
        <f>IFERROR(VLOOKUP($A476,Company_Cat!$C$2:$C$623,1,FALSE),"")</f>
        <v/>
      </c>
    </row>
    <row r="477">
      <c r="A477" s="79" t="inlineStr">
        <is>
          <t>Opel Motorsport</t>
        </is>
      </c>
      <c r="B477" s="80" t="n">
        <v>37123</v>
      </c>
      <c r="C477" s="85" t="n"/>
      <c r="D477" s="6">
        <f>IFERROR(VLOOKUP($A477,Company_Cat!$C$2:$C$623,1,FALSE),"")</f>
        <v/>
      </c>
    </row>
    <row r="478">
      <c r="A478" s="81" t="inlineStr">
        <is>
          <t>MCR Aviation</t>
        </is>
      </c>
      <c r="B478" s="80" t="n">
        <v>37109</v>
      </c>
      <c r="C478" s="85" t="n"/>
      <c r="D478" s="6">
        <f>IFERROR(VLOOKUP($A478,Company_Cat!$C$2:$C$623,1,FALSE),"")</f>
        <v/>
      </c>
    </row>
    <row r="479">
      <c r="A479" s="81" t="inlineStr">
        <is>
          <t>W &amp; B Mining Supplies</t>
        </is>
      </c>
      <c r="B479" s="80" t="n">
        <v>37049</v>
      </c>
      <c r="C479" s="85" t="n"/>
      <c r="D479" s="6">
        <f>IFERROR(VLOOKUP($A479,Company_Cat!$C$2:$C$623,1,FALSE),"")</f>
        <v/>
      </c>
    </row>
    <row r="480">
      <c r="A480" s="79" t="inlineStr">
        <is>
          <t>Nationwide Air</t>
        </is>
      </c>
      <c r="B480" s="80" t="n">
        <v>37022</v>
      </c>
      <c r="C480" s="85" t="n"/>
      <c r="D480" s="6">
        <f>IFERROR(VLOOKUP($A480,Company_Cat!$C$2:$C$623,1,FALSE),"")</f>
        <v/>
      </c>
    </row>
    <row r="481">
      <c r="A481" s="81" t="inlineStr">
        <is>
          <t>Naturelink</t>
        </is>
      </c>
      <c r="B481" s="80" t="n">
        <v>37014</v>
      </c>
      <c r="C481" s="85" t="n"/>
      <c r="D481" s="6">
        <f>IFERROR(VLOOKUP($A481,Company_Cat!$C$2:$C$623,1,FALSE),"")</f>
        <v/>
      </c>
    </row>
    <row r="482">
      <c r="A482" s="79" t="inlineStr">
        <is>
          <t>Encore</t>
        </is>
      </c>
      <c r="B482" s="80" t="n">
        <v>37007</v>
      </c>
      <c r="C482" s="85" t="n"/>
      <c r="D482" s="6">
        <f>IFERROR(VLOOKUP($A482,Company_Cat!$C$2:$C$623,1,FALSE),"")</f>
        <v/>
      </c>
    </row>
    <row r="483">
      <c r="A483" s="79" t="inlineStr">
        <is>
          <t>Corsica Investmenrs</t>
        </is>
      </c>
      <c r="B483" s="80" t="n">
        <v>37001</v>
      </c>
      <c r="C483" s="85" t="n"/>
      <c r="D483" s="6">
        <f>IFERROR(VLOOKUP($A483,Company_Cat!$C$2:$C$623,1,FALSE),"")</f>
        <v/>
      </c>
    </row>
    <row r="484">
      <c r="A484" s="81" t="inlineStr">
        <is>
          <t>Morley's International Procurement</t>
        </is>
      </c>
      <c r="B484" s="80" t="n">
        <v>36959</v>
      </c>
      <c r="C484" s="85" t="n"/>
      <c r="D484" s="6">
        <f>IFERROR(VLOOKUP($A484,Company_Cat!$C$2:$C$623,1,FALSE),"")</f>
        <v/>
      </c>
    </row>
    <row r="485">
      <c r="A485" s="81" t="inlineStr">
        <is>
          <t>two oceans</t>
        </is>
      </c>
      <c r="B485" s="80" t="n">
        <v>36942</v>
      </c>
      <c r="C485" s="85" t="n"/>
      <c r="D485" s="6">
        <f>IFERROR(VLOOKUP($A485,Company_Cat!$C$2:$C$623,1,FALSE),"")</f>
        <v/>
      </c>
    </row>
    <row r="486">
      <c r="A486" s="79" t="inlineStr">
        <is>
          <t>Aircraft Maintainance International</t>
        </is>
      </c>
      <c r="B486" s="80" t="n">
        <v>36936</v>
      </c>
      <c r="C486" s="80" t="n"/>
      <c r="D486" s="6">
        <f>IFERROR(VLOOKUP($A486,Company_Cat!$C$2:$C$623,1,FALSE),"")</f>
        <v/>
      </c>
    </row>
    <row r="487">
      <c r="A487" s="79" t="inlineStr">
        <is>
          <t>AIR-KRAFT (Pty) Ltd</t>
        </is>
      </c>
      <c r="B487" s="80" t="n">
        <v>36878</v>
      </c>
      <c r="C487" s="85" t="n"/>
      <c r="D487" s="6">
        <f>IFERROR(VLOOKUP($A487,Company_Cat!$C$2:$C$623,1,FALSE),"")</f>
        <v/>
      </c>
    </row>
    <row r="488">
      <c r="A488" s="81" t="inlineStr">
        <is>
          <t>Anglo cont</t>
        </is>
      </c>
      <c r="B488" s="80" t="n">
        <v>36853</v>
      </c>
      <c r="C488" s="85" t="n"/>
      <c r="D488" s="6">
        <f>IFERROR(VLOOKUP($A488,Company_Cat!$C$2:$C$623,1,FALSE),"")</f>
        <v/>
      </c>
    </row>
    <row r="489">
      <c r="A489" s="81" t="inlineStr">
        <is>
          <t>cc jordaan</t>
        </is>
      </c>
      <c r="B489" s="80" t="n">
        <v>36852</v>
      </c>
      <c r="C489" s="85" t="n"/>
      <c r="D489" s="6">
        <f>IFERROR(VLOOKUP($A489,Company_Cat!$C$2:$C$623,1,FALSE),"")</f>
        <v/>
      </c>
    </row>
    <row r="490">
      <c r="A490" s="81" t="inlineStr">
        <is>
          <t>Fleet Air</t>
        </is>
      </c>
      <c r="B490" s="80" t="n">
        <v>36836</v>
      </c>
      <c r="C490" s="85" t="n"/>
      <c r="D490" s="6">
        <f>IFERROR(VLOOKUP($A490,Company_Cat!$C$2:$C$623,1,FALSE),"")</f>
        <v/>
      </c>
    </row>
    <row r="491">
      <c r="A491" s="79" t="inlineStr">
        <is>
          <t>Breytech Aviation</t>
        </is>
      </c>
      <c r="B491" s="80" t="n">
        <v>36822</v>
      </c>
      <c r="C491" s="85" t="n"/>
      <c r="D491" s="6">
        <f>IFERROR(VLOOKUP($A491,Company_Cat!$C$2:$C$623,1,FALSE),"")</f>
        <v/>
      </c>
    </row>
    <row r="492">
      <c r="A492" s="81" t="inlineStr">
        <is>
          <t>Premier Malt</t>
        </is>
      </c>
      <c r="B492" s="80" t="n">
        <v>36810</v>
      </c>
      <c r="C492" s="85" t="n"/>
      <c r="D492" s="6">
        <f>IFERROR(VLOOKUP($A492,Company_Cat!$C$2:$C$623,1,FALSE),"")</f>
        <v/>
      </c>
    </row>
    <row r="493">
      <c r="A493" s="79" t="inlineStr">
        <is>
          <t>NAC engine Lanseria</t>
        </is>
      </c>
      <c r="B493" s="80" t="n">
        <v>36782</v>
      </c>
      <c r="C493" s="80" t="n"/>
      <c r="D493" s="6">
        <f>IFERROR(VLOOKUP($A493,Company_Cat!$C$2:$C$623,1,FALSE),"")</f>
        <v/>
      </c>
    </row>
    <row r="494">
      <c r="A494" s="81" t="inlineStr">
        <is>
          <t>Spark Aviation Services</t>
        </is>
      </c>
      <c r="B494" s="80" t="n">
        <v>36768</v>
      </c>
      <c r="C494" s="80" t="n"/>
      <c r="D494" s="6">
        <f>IFERROR(VLOOKUP($A494,Company_Cat!$C$2:$C$623,1,FALSE),"")</f>
        <v/>
      </c>
    </row>
    <row r="495">
      <c r="A495" s="79" t="inlineStr">
        <is>
          <t>CHAN AIR</t>
        </is>
      </c>
      <c r="B495" s="80" t="n">
        <v>36706</v>
      </c>
      <c r="C495" s="85" t="n"/>
      <c r="D495" s="6">
        <f>IFERROR(VLOOKUP($A495,Company_Cat!$C$2:$C$623,1,FALSE),"")</f>
        <v/>
      </c>
    </row>
    <row r="496">
      <c r="A496" s="79" t="inlineStr">
        <is>
          <t>Boma Helicopters</t>
        </is>
      </c>
      <c r="B496" s="80" t="n">
        <v>36685</v>
      </c>
      <c r="C496" s="85" t="n"/>
      <c r="D496" s="6">
        <f>IFERROR(VLOOKUP($A496,Company_Cat!$C$2:$C$623,1,FALSE),"")</f>
        <v/>
      </c>
    </row>
    <row r="497">
      <c r="A497" s="81" t="inlineStr">
        <is>
          <t>Sepwa Trust</t>
        </is>
      </c>
      <c r="B497" s="80" t="n">
        <v>36668</v>
      </c>
      <c r="C497" s="85" t="n"/>
      <c r="D497" s="6">
        <f>IFERROR(VLOOKUP($A497,Company_Cat!$C$2:$C$623,1,FALSE),"")</f>
        <v/>
      </c>
    </row>
    <row r="498">
      <c r="A498" s="81" t="inlineStr">
        <is>
          <t>Aircraft Operating Co.(PTY) Ltd</t>
        </is>
      </c>
      <c r="B498" s="80" t="n">
        <v>36648</v>
      </c>
      <c r="C498" s="85" t="n"/>
      <c r="D498" s="6">
        <f>IFERROR(VLOOKUP($A498,Company_Cat!$C$2:$C$623,1,FALSE),"")</f>
        <v/>
      </c>
    </row>
    <row r="499">
      <c r="A499" s="79" t="inlineStr">
        <is>
          <t>Gamework Helicopters</t>
        </is>
      </c>
      <c r="B499" s="80" t="n">
        <v>36648</v>
      </c>
      <c r="C499" s="85" t="n"/>
      <c r="D499" s="6">
        <f>IFERROR(VLOOKUP($A499,Company_Cat!$C$2:$C$623,1,FALSE),"")</f>
        <v/>
      </c>
    </row>
    <row r="500">
      <c r="A500" s="81" t="inlineStr">
        <is>
          <t>Aerospray cc</t>
        </is>
      </c>
      <c r="B500" s="80" t="n">
        <v>36641</v>
      </c>
      <c r="C500" s="85" t="n"/>
      <c r="D500" s="6">
        <f>IFERROR(VLOOKUP($A500,Company_Cat!$C$2:$C$623,1,FALSE),"")</f>
        <v/>
      </c>
    </row>
    <row r="501">
      <c r="A501" s="79" t="inlineStr">
        <is>
          <t>CAE Aviation</t>
        </is>
      </c>
      <c r="B501" s="80" t="n">
        <v>36636</v>
      </c>
      <c r="C501" s="85" t="n"/>
      <c r="D501" s="6">
        <f>IFERROR(VLOOKUP($A501,Company_Cat!$C$2:$C$623,1,FALSE),"")</f>
        <v/>
      </c>
    </row>
    <row r="502">
      <c r="A502" s="81" t="inlineStr">
        <is>
          <t>Flying Colours</t>
        </is>
      </c>
      <c r="B502" s="80" t="n">
        <v>36635</v>
      </c>
      <c r="C502" s="85" t="n"/>
      <c r="D502" s="6">
        <f>IFERROR(VLOOKUP($A502,Company_Cat!$C$2:$C$623,1,FALSE),"")</f>
        <v/>
      </c>
    </row>
    <row r="503">
      <c r="A503" s="79" t="inlineStr">
        <is>
          <t>NAC Rand fixed wing</t>
        </is>
      </c>
      <c r="B503" s="80" t="n">
        <v>36635</v>
      </c>
      <c r="C503" s="85" t="n"/>
      <c r="D503" s="6">
        <f>IFERROR(VLOOKUP($A503,Company_Cat!$C$2:$C$623,1,FALSE),"")</f>
        <v/>
      </c>
    </row>
    <row r="504">
      <c r="A504" s="81" t="inlineStr">
        <is>
          <t>Santex International</t>
        </is>
      </c>
      <c r="B504" s="80" t="n">
        <v>36627</v>
      </c>
      <c r="C504" s="85" t="n"/>
      <c r="D504" s="6">
        <f>IFERROR(VLOOKUP($A504,Company_Cat!$C$2:$C$623,1,FALSE),"")</f>
        <v/>
      </c>
    </row>
    <row r="505">
      <c r="A505" s="81" t="inlineStr">
        <is>
          <t>Pro-Car Wholesalers</t>
        </is>
      </c>
      <c r="B505" s="80" t="n">
        <v>36623</v>
      </c>
      <c r="C505" s="85" t="n"/>
      <c r="D505" s="6">
        <f>IFERROR(VLOOKUP($A505,Company_Cat!$C$2:$C$623,1,FALSE),"")</f>
        <v/>
      </c>
    </row>
    <row r="506">
      <c r="A506" s="79" t="inlineStr">
        <is>
          <t>Grace Air</t>
        </is>
      </c>
      <c r="B506" s="80" t="n">
        <v>36620</v>
      </c>
      <c r="C506" s="85" t="n"/>
      <c r="D506" s="6">
        <f>IFERROR(VLOOKUP($A506,Company_Cat!$C$2:$C$623,1,FALSE),"")</f>
        <v/>
      </c>
    </row>
    <row r="507">
      <c r="A507" s="79" t="inlineStr">
        <is>
          <t>Francois Naude'</t>
        </is>
      </c>
      <c r="B507" s="80" t="n">
        <v>36602</v>
      </c>
      <c r="C507" s="85" t="n"/>
      <c r="D507" s="6">
        <f>IFERROR(VLOOKUP($A507,Company_Cat!$C$2:$C$623,1,FALSE),"")</f>
        <v/>
      </c>
    </row>
    <row r="508">
      <c r="A508" s="79" t="inlineStr">
        <is>
          <t>Foster Webb Aviation (Pty) Ltd</t>
        </is>
      </c>
      <c r="B508" s="80" t="n">
        <v>36600</v>
      </c>
      <c r="C508" s="85" t="n"/>
      <c r="D508" s="6">
        <f>IFERROR(VLOOKUP($A508,Company_Cat!$C$2:$C$623,1,FALSE),"")</f>
        <v/>
      </c>
    </row>
    <row r="509">
      <c r="A509" s="79" t="inlineStr">
        <is>
          <t>East Rand Aviation Services</t>
        </is>
      </c>
      <c r="B509" s="80" t="n">
        <v>36598</v>
      </c>
      <c r="C509" s="85" t="n"/>
      <c r="D509" s="6">
        <f>IFERROR(VLOOKUP($A509,Company_Cat!$C$2:$C$623,1,FALSE),"")</f>
        <v/>
      </c>
    </row>
    <row r="510">
      <c r="A510" s="79" t="inlineStr">
        <is>
          <t>Santam Ltd</t>
        </is>
      </c>
      <c r="B510" s="80" t="n">
        <v>36594</v>
      </c>
      <c r="C510" s="80" t="n"/>
      <c r="D510" s="6">
        <f>IFERROR(VLOOKUP($A510,Company_Cat!$C$2:$C$623,1,FALSE),"")</f>
        <v/>
      </c>
    </row>
    <row r="511">
      <c r="A511" s="81" t="inlineStr">
        <is>
          <t>Springbok av Unitrade</t>
        </is>
      </c>
      <c r="B511" s="80" t="n">
        <v>36500</v>
      </c>
      <c r="C511" s="85" t="n"/>
      <c r="D511" s="6">
        <f>IFERROR(VLOOKUP($A511,Company_Cat!$C$2:$C$623,1,FALSE),"")</f>
        <v/>
      </c>
    </row>
    <row r="512">
      <c r="A512" s="79" t="inlineStr">
        <is>
          <t>African Air Adventures</t>
        </is>
      </c>
      <c r="B512" s="80" t="n">
        <v>36494</v>
      </c>
      <c r="C512" s="85" t="n"/>
      <c r="D512" s="6">
        <f>IFERROR(VLOOKUP($A512,Company_Cat!$C$2:$C$623,1,FALSE),"")</f>
        <v/>
      </c>
    </row>
    <row r="513">
      <c r="A513" s="79" t="inlineStr">
        <is>
          <t>T G Fine</t>
        </is>
      </c>
      <c r="B513" s="80" t="n">
        <v>36480</v>
      </c>
      <c r="C513" s="85" t="n"/>
      <c r="D513" s="6">
        <f>IFERROR(VLOOKUP($A513,Company_Cat!$C$2:$C$623,1,FALSE),"")</f>
        <v/>
      </c>
    </row>
    <row r="514">
      <c r="A514" s="81" t="inlineStr">
        <is>
          <t>Afronix</t>
        </is>
      </c>
      <c r="B514" s="80" t="n">
        <v>36451</v>
      </c>
      <c r="C514" s="85" t="n"/>
      <c r="D514" s="6">
        <f>IFERROR(VLOOKUP($A514,Company_Cat!$C$2:$C$623,1,FALSE),"")</f>
        <v/>
      </c>
    </row>
    <row r="515">
      <c r="A515" s="81" t="inlineStr">
        <is>
          <t>J Oosthuizen</t>
        </is>
      </c>
      <c r="B515" s="80" t="n">
        <v>36385</v>
      </c>
      <c r="C515" s="85" t="n"/>
      <c r="D515" s="6">
        <f>IFERROR(VLOOKUP($A515,Company_Cat!$C$2:$C$623,1,FALSE),"")</f>
        <v/>
      </c>
    </row>
    <row r="516">
      <c r="A516" s="79" t="inlineStr">
        <is>
          <t>Inkwe Valley</t>
        </is>
      </c>
      <c r="B516" s="80" t="n">
        <v>36377</v>
      </c>
      <c r="C516" s="85" t="n"/>
      <c r="D516" s="6">
        <f>IFERROR(VLOOKUP($A516,Company_Cat!$C$2:$C$623,1,FALSE),"")</f>
        <v/>
      </c>
    </row>
    <row r="517">
      <c r="A517" s="79" t="inlineStr">
        <is>
          <t>Boskop Training Center</t>
        </is>
      </c>
      <c r="B517" s="80" t="n">
        <v>36370</v>
      </c>
      <c r="C517" s="85" t="n"/>
      <c r="D517" s="6">
        <f>IFERROR(VLOOKUP($A517,Company_Cat!$C$2:$C$623,1,FALSE),"")</f>
        <v/>
      </c>
    </row>
    <row r="518">
      <c r="A518" s="79" t="inlineStr">
        <is>
          <t>Herring Aviation</t>
        </is>
      </c>
      <c r="B518" s="80" t="n">
        <v>36369</v>
      </c>
      <c r="C518" s="85" t="n"/>
      <c r="D518" s="6">
        <f>IFERROR(VLOOKUP($A518,Company_Cat!$C$2:$C$623,1,FALSE),"")</f>
        <v/>
      </c>
    </row>
    <row r="519">
      <c r="A519" s="79" t="inlineStr">
        <is>
          <t>Anglo American .S.A.-Aircraft Divisision</t>
        </is>
      </c>
      <c r="B519" s="80" t="n">
        <v>36367</v>
      </c>
      <c r="C519" s="85" t="n"/>
      <c r="D519" s="6">
        <f>IFERROR(VLOOKUP($A519,Company_Cat!$C$2:$C$623,1,FALSE),"")</f>
        <v/>
      </c>
    </row>
    <row r="520">
      <c r="A520" s="79" t="inlineStr">
        <is>
          <t>G Mc Carthy</t>
        </is>
      </c>
      <c r="B520" s="80" t="n">
        <v>36364</v>
      </c>
      <c r="C520" s="85" t="n"/>
      <c r="D520" s="6">
        <f>IFERROR(VLOOKUP($A520,Company_Cat!$C$2:$C$623,1,FALSE),"")</f>
        <v/>
      </c>
    </row>
    <row r="521">
      <c r="A521" s="79" t="inlineStr">
        <is>
          <t>Celair</t>
        </is>
      </c>
      <c r="B521" s="80" t="n">
        <v>36348</v>
      </c>
      <c r="C521" s="85" t="n"/>
      <c r="D521" s="6">
        <f>IFERROR(VLOOKUP($A521,Company_Cat!$C$2:$C$623,1,FALSE),"")</f>
        <v/>
      </c>
    </row>
    <row r="522">
      <c r="A522" s="79" t="inlineStr">
        <is>
          <t>Super Stone Mining (Pty) Ltd</t>
        </is>
      </c>
      <c r="B522" s="80" t="n">
        <v>36336</v>
      </c>
      <c r="C522" s="85" t="n"/>
      <c r="D522" s="6">
        <f>IFERROR(VLOOKUP($A522,Company_Cat!$C$2:$C$623,1,FALSE),"")</f>
        <v/>
      </c>
    </row>
    <row r="523">
      <c r="A523" s="81" t="inlineStr">
        <is>
          <t>Aerobatic Training Services</t>
        </is>
      </c>
      <c r="B523" s="80" t="n">
        <v>36272</v>
      </c>
      <c r="C523" s="85" t="n"/>
      <c r="D523" s="6">
        <f>IFERROR(VLOOKUP($A523,Company_Cat!$C$2:$C$623,1,FALSE),"")</f>
        <v/>
      </c>
    </row>
    <row r="524">
      <c r="A524" s="79" t="inlineStr">
        <is>
          <t>Dunlo Marine</t>
        </is>
      </c>
      <c r="B524" s="80" t="n">
        <v>36215</v>
      </c>
      <c r="C524" s="85" t="n"/>
      <c r="D524" s="6">
        <f>IFERROR(VLOOKUP($A524,Company_Cat!$C$2:$C$623,1,FALSE),"")</f>
        <v/>
      </c>
    </row>
    <row r="525">
      <c r="A525" s="81" t="inlineStr">
        <is>
          <t>Dr FE Vlok</t>
        </is>
      </c>
      <c r="B525" s="80" t="n">
        <v>36201</v>
      </c>
      <c r="C525" s="85" t="n"/>
      <c r="D525" s="6">
        <f>IFERROR(VLOOKUP($A525,Company_Cat!$C$2:$C$623,1,FALSE),"")</f>
        <v/>
      </c>
    </row>
    <row r="526">
      <c r="A526" s="79" t="inlineStr">
        <is>
          <t>George's Sheetmetal Shop</t>
        </is>
      </c>
      <c r="B526" s="80" t="n">
        <v>36201</v>
      </c>
      <c r="C526" s="85" t="n"/>
      <c r="D526" s="6">
        <f>IFERROR(VLOOKUP($A526,Company_Cat!$C$2:$C$623,1,FALSE),"")</f>
        <v/>
      </c>
    </row>
    <row r="527">
      <c r="A527" s="79" t="inlineStr">
        <is>
          <t>Rossair</t>
        </is>
      </c>
      <c r="B527" s="80" t="n">
        <v>36186</v>
      </c>
      <c r="C527" s="85" t="n"/>
      <c r="D527" s="6">
        <f>IFERROR(VLOOKUP($A527,Company_Cat!$C$2:$C$623,1,FALSE),"")</f>
        <v/>
      </c>
    </row>
    <row r="528">
      <c r="A528" s="79" t="inlineStr">
        <is>
          <t>EXP AIR CC</t>
        </is>
      </c>
      <c r="B528" s="80" t="n">
        <v>36165</v>
      </c>
      <c r="C528" s="85" t="n"/>
      <c r="D528" s="6">
        <f>IFERROR(VLOOKUP($A528,Company_Cat!$C$2:$C$623,1,FALSE),"")</f>
        <v/>
      </c>
    </row>
    <row r="529">
      <c r="A529" s="81" t="inlineStr">
        <is>
          <t>Court Helicopters (Pty) LTD ct.</t>
        </is>
      </c>
      <c r="B529" s="80" t="n">
        <v>36129</v>
      </c>
      <c r="C529" s="85" t="n"/>
      <c r="D529" s="6">
        <f>IFERROR(VLOOKUP($A529,Company_Cat!$C$2:$C$623,1,FALSE),"")</f>
        <v/>
      </c>
    </row>
    <row r="530">
      <c r="A530" s="81" t="inlineStr">
        <is>
          <t>Intensive Air</t>
        </is>
      </c>
      <c r="B530" s="80" t="n">
        <v>36129</v>
      </c>
      <c r="C530" s="85" t="n"/>
      <c r="D530" s="6">
        <f>IFERROR(VLOOKUP($A530,Company_Cat!$C$2:$C$623,1,FALSE),"")</f>
        <v/>
      </c>
    </row>
    <row r="531">
      <c r="A531" s="79" t="inlineStr">
        <is>
          <t>Court Helicopters (Pty) LTD rand</t>
        </is>
      </c>
      <c r="B531" s="80" t="n">
        <v>36108</v>
      </c>
      <c r="C531" s="85" t="n"/>
      <c r="D531" s="6">
        <f>IFERROR(VLOOKUP($A531,Company_Cat!$C$2:$C$623,1,FALSE),"")</f>
        <v/>
      </c>
    </row>
    <row r="532">
      <c r="A532" s="81" t="inlineStr">
        <is>
          <t>Associated Equipment Pty (LTD)</t>
        </is>
      </c>
      <c r="B532" s="80" t="n">
        <v>36071</v>
      </c>
      <c r="C532" s="85" t="n"/>
      <c r="D532" s="6">
        <f>IFERROR(VLOOKUP($A532,Company_Cat!$C$2:$C$623,1,FALSE),"")</f>
        <v/>
      </c>
    </row>
    <row r="533">
      <c r="A533" s="79" t="inlineStr">
        <is>
          <t>Justinian Investment Seven (Pty) Ltd</t>
        </is>
      </c>
      <c r="B533" s="80" t="n">
        <v>35969</v>
      </c>
      <c r="C533" s="85" t="n"/>
      <c r="D533" s="6">
        <f>IFERROR(VLOOKUP($A533,Company_Cat!$C$2:$C$623,1,FALSE),"")</f>
        <v/>
      </c>
    </row>
    <row r="534">
      <c r="A534" s="79" t="inlineStr">
        <is>
          <t>catalina G Mc Pherson</t>
        </is>
      </c>
      <c r="B534" s="80" t="n">
        <v>35923</v>
      </c>
      <c r="C534" s="85" t="n"/>
      <c r="D534" s="6">
        <f>IFERROR(VLOOKUP($A534,Company_Cat!$C$2:$C$623,1,FALSE),"")</f>
        <v/>
      </c>
    </row>
    <row r="535">
      <c r="A535" s="79" t="inlineStr">
        <is>
          <t>Interjet Maintainance (Pty) Ltd</t>
        </is>
      </c>
      <c r="B535" s="80" t="n">
        <v>35922</v>
      </c>
      <c r="C535" s="85" t="n"/>
      <c r="D535" s="6">
        <f>IFERROR(VLOOKUP($A535,Company_Cat!$C$2:$C$623,1,FALSE),"")</f>
        <v/>
      </c>
    </row>
    <row r="536">
      <c r="A536" s="81" t="inlineStr">
        <is>
          <t>Orion Air Charter</t>
        </is>
      </c>
      <c r="B536" s="80" t="n">
        <v>35879</v>
      </c>
      <c r="C536" s="85" t="n"/>
      <c r="D536" s="6">
        <f>IFERROR(VLOOKUP($A536,Company_Cat!$C$2:$C$623,1,FALSE),"")</f>
        <v/>
      </c>
    </row>
    <row r="537">
      <c r="A537" s="81" t="inlineStr">
        <is>
          <t>Total Support Management</t>
        </is>
      </c>
      <c r="B537" s="80" t="n">
        <v>35879</v>
      </c>
      <c r="C537" s="85" t="n"/>
      <c r="D537" s="6">
        <f>IFERROR(VLOOKUP($A537,Company_Cat!$C$2:$C$623,1,FALSE),"")</f>
        <v/>
      </c>
    </row>
    <row r="538">
      <c r="A538" s="79" t="inlineStr">
        <is>
          <t>Haubt Bros</t>
        </is>
      </c>
      <c r="B538" s="80" t="n">
        <v>35867</v>
      </c>
      <c r="C538" s="85" t="n"/>
      <c r="D538" s="6">
        <f>IFERROR(VLOOKUP($A538,Company_Cat!$C$2:$C$623,1,FALSE),"")</f>
        <v/>
      </c>
    </row>
    <row r="539">
      <c r="A539" s="79" t="inlineStr">
        <is>
          <t>ITC</t>
        </is>
      </c>
      <c r="B539" s="80" t="n">
        <v>35867</v>
      </c>
      <c r="C539" s="85" t="n"/>
      <c r="D539" s="6">
        <f>IFERROR(VLOOKUP($A539,Company_Cat!$C$2:$C$623,1,FALSE),"")</f>
        <v/>
      </c>
    </row>
    <row r="540">
      <c r="A540" s="79" t="inlineStr">
        <is>
          <t>Beraac c.c.</t>
        </is>
      </c>
      <c r="B540" s="80" t="n">
        <v>35846</v>
      </c>
      <c r="C540" s="85" t="n"/>
      <c r="D540" s="6">
        <f>IFERROR(VLOOKUP($A540,Company_Cat!$C$2:$C$623,1,FALSE),"")</f>
        <v/>
      </c>
    </row>
    <row r="541">
      <c r="A541" s="79" t="inlineStr">
        <is>
          <t>Titan Aviation</t>
        </is>
      </c>
      <c r="B541" s="80" t="n">
        <v>35837</v>
      </c>
      <c r="C541" s="85" t="n"/>
      <c r="D541" s="6">
        <f>IFERROR(VLOOKUP($A541,Company_Cat!$C$2:$C$623,1,FALSE),"")</f>
        <v/>
      </c>
    </row>
    <row r="542">
      <c r="A542" s="81" t="inlineStr">
        <is>
          <t>Airworks Sales</t>
        </is>
      </c>
      <c r="B542" s="80" t="n">
        <v>35830</v>
      </c>
      <c r="C542" s="85" t="n"/>
      <c r="D542" s="6">
        <f>IFERROR(VLOOKUP($A542,Company_Cat!$C$2:$C$623,1,FALSE),"")</f>
        <v/>
      </c>
    </row>
    <row r="543">
      <c r="A543" s="79" t="inlineStr">
        <is>
          <t>Orion</t>
        </is>
      </c>
      <c r="B543" s="80" t="n">
        <v>35830</v>
      </c>
      <c r="C543" s="85" t="n"/>
      <c r="D543" s="6">
        <f>IFERROR(VLOOKUP($A543,Company_Cat!$C$2:$C$623,1,FALSE),"")</f>
        <v/>
      </c>
    </row>
    <row r="544">
      <c r="A544" s="79" t="inlineStr">
        <is>
          <t>Arrow Air</t>
        </is>
      </c>
      <c r="B544" s="80" t="n">
        <v>35755</v>
      </c>
      <c r="C544" s="85" t="n"/>
      <c r="D544" s="6">
        <f>IFERROR(VLOOKUP($A544,Company_Cat!$C$2:$C$623,1,FALSE),"")</f>
        <v/>
      </c>
    </row>
    <row r="545">
      <c r="A545" s="79" t="inlineStr">
        <is>
          <t>Atinair</t>
        </is>
      </c>
      <c r="B545" s="80" t="n">
        <v>35755</v>
      </c>
      <c r="C545" s="85" t="n"/>
      <c r="D545" s="6">
        <f>IFERROR(VLOOKUP($A545,Company_Cat!$C$2:$C$623,1,FALSE),"")</f>
        <v/>
      </c>
    </row>
    <row r="546">
      <c r="A546" s="79" t="inlineStr">
        <is>
          <t>Madiba Air</t>
        </is>
      </c>
      <c r="B546" s="80" t="n">
        <v>35720</v>
      </c>
      <c r="C546" s="85" t="n"/>
      <c r="D546" s="6">
        <f>IFERROR(VLOOKUP($A546,Company_Cat!$C$2:$C$623,1,FALSE),"")</f>
        <v/>
      </c>
    </row>
    <row r="547">
      <c r="A547" s="79" t="inlineStr">
        <is>
          <t>MTN</t>
        </is>
      </c>
      <c r="B547" s="80" t="n">
        <v>35716</v>
      </c>
      <c r="C547" s="85" t="n"/>
      <c r="D547" s="6">
        <f>IFERROR(VLOOKUP($A547,Company_Cat!$C$2:$C$623,1,FALSE),"")</f>
        <v/>
      </c>
    </row>
    <row r="548">
      <c r="A548" s="81" t="inlineStr">
        <is>
          <t>Quadro Aircraft Refurbishing</t>
        </is>
      </c>
      <c r="B548" s="80" t="n">
        <v>35695</v>
      </c>
      <c r="C548" s="85" t="n"/>
      <c r="D548" s="6">
        <f>IFERROR(VLOOKUP($A548,Company_Cat!$C$2:$C$623,1,FALSE),"")</f>
        <v/>
      </c>
    </row>
    <row r="549">
      <c r="A549" s="81" t="inlineStr">
        <is>
          <t>Walker Vliegdiens</t>
        </is>
      </c>
      <c r="B549" s="80" t="n">
        <v>35649</v>
      </c>
      <c r="C549" s="85" t="n"/>
      <c r="D549" s="6">
        <f>IFERROR(VLOOKUP($A549,Company_Cat!$C$2:$C$623,1,FALSE),"")</f>
        <v/>
      </c>
    </row>
    <row r="550">
      <c r="A550" s="79" t="inlineStr">
        <is>
          <t>Egbert Weiss</t>
        </is>
      </c>
      <c r="B550" s="80" t="n">
        <v>35601</v>
      </c>
      <c r="C550" s="85" t="n"/>
      <c r="D550" s="6">
        <f>IFERROR(VLOOKUP($A550,Company_Cat!$C$2:$C$623,1,FALSE),"")</f>
        <v/>
      </c>
    </row>
    <row r="551">
      <c r="A551" s="81" t="inlineStr">
        <is>
          <t>NAC Precision Aviation Services</t>
        </is>
      </c>
      <c r="B551" s="80" t="n">
        <v>35601</v>
      </c>
      <c r="C551" s="80" t="n"/>
      <c r="D551" s="6">
        <f>IFERROR(VLOOKUP($A551,Company_Cat!$C$2:$C$623,1,FALSE),"")</f>
        <v/>
      </c>
    </row>
    <row r="552">
      <c r="A552" s="79" t="inlineStr">
        <is>
          <t>Pierre v d Westhuizen</t>
        </is>
      </c>
      <c r="B552" s="80" t="n">
        <v>35601</v>
      </c>
      <c r="C552" s="85" t="n"/>
      <c r="D552" s="6">
        <f>IFERROR(VLOOKUP($A552,Company_Cat!$C$2:$C$623,1,FALSE),"")</f>
        <v/>
      </c>
    </row>
    <row r="553">
      <c r="A553" s="81" t="inlineStr">
        <is>
          <t>M Snoyman</t>
        </is>
      </c>
      <c r="B553" s="80" t="n">
        <v>35419</v>
      </c>
      <c r="C553" s="85" t="n"/>
      <c r="D553" s="6">
        <f>IFERROR(VLOOKUP($A553,Company_Cat!$C$2:$C$623,1,FALSE),"")</f>
        <v/>
      </c>
    </row>
    <row r="554">
      <c r="A554" s="79" t="inlineStr">
        <is>
          <t>Hunting Aviation</t>
        </is>
      </c>
      <c r="B554" s="80" t="n">
        <v>35326</v>
      </c>
      <c r="C554" s="85" t="n"/>
      <c r="D554" s="6">
        <f>IFERROR(VLOOKUP($A554,Company_Cat!$C$2:$C$623,1,FALSE),"")</f>
        <v/>
      </c>
    </row>
    <row r="555">
      <c r="A555" s="72" t="n"/>
    </row>
    <row r="556">
      <c r="A556" s="72" t="n"/>
    </row>
    <row r="557">
      <c r="A557" s="72" t="n"/>
    </row>
    <row r="558">
      <c r="A558" s="72" t="n"/>
    </row>
    <row r="559">
      <c r="A559" s="72" t="n"/>
      <c r="B559" s="73" t="n"/>
      <c r="C559" s="88" t="n"/>
      <c r="D559" s="78" t="n"/>
    </row>
    <row r="560">
      <c r="A560" s="72" t="n"/>
    </row>
    <row r="561">
      <c r="A561" s="72" t="n"/>
    </row>
    <row r="562">
      <c r="A562" s="72" t="n"/>
    </row>
    <row r="563">
      <c r="A563" s="72" t="n"/>
    </row>
    <row r="564">
      <c r="A564" s="72" t="n"/>
    </row>
    <row r="565">
      <c r="A565" s="72" t="n"/>
    </row>
    <row r="566">
      <c r="A566" s="72" t="n"/>
      <c r="B566" s="73" t="n"/>
      <c r="C566" s="88" t="n"/>
    </row>
    <row r="567">
      <c r="A567" s="71" t="n"/>
    </row>
    <row r="569">
      <c r="A569" s="71" t="n"/>
    </row>
    <row r="571">
      <c r="A571" s="71" t="n"/>
    </row>
    <row r="573">
      <c r="A573" s="71" t="n"/>
    </row>
    <row r="575">
      <c r="A575" s="71" t="n"/>
    </row>
    <row r="577">
      <c r="A577" s="71" t="n"/>
    </row>
    <row r="579">
      <c r="A579" s="71" t="n"/>
    </row>
    <row r="581">
      <c r="A581" s="71" t="n"/>
    </row>
    <row r="583">
      <c r="A583" s="71" t="n"/>
    </row>
    <row r="585">
      <c r="A585" s="71" t="n"/>
    </row>
    <row r="587">
      <c r="A587" s="71" t="n"/>
    </row>
    <row r="589">
      <c r="A589" s="71" t="n"/>
    </row>
    <row r="591">
      <c r="A591" s="71" t="n"/>
    </row>
    <row r="593">
      <c r="A593" s="71" t="n"/>
    </row>
    <row r="595">
      <c r="A595" s="71" t="n"/>
    </row>
    <row r="597">
      <c r="A597" s="71" t="n"/>
    </row>
    <row r="599">
      <c r="A599" s="71" t="n"/>
    </row>
    <row r="601">
      <c r="A601" s="71" t="n"/>
    </row>
    <row r="603">
      <c r="A603" s="71" t="n"/>
    </row>
    <row r="605">
      <c r="A605" s="71" t="n"/>
    </row>
    <row r="607">
      <c r="A607" s="71" t="n"/>
    </row>
    <row r="609">
      <c r="A609" s="71" t="n"/>
    </row>
    <row r="611">
      <c r="A611" s="71" t="n"/>
    </row>
    <row r="613">
      <c r="A613" s="71" t="n"/>
    </row>
    <row r="615">
      <c r="A615" s="71" t="n"/>
    </row>
    <row r="617">
      <c r="A617" s="71" t="n"/>
    </row>
    <row r="619">
      <c r="A619" s="71" t="n"/>
    </row>
    <row r="621">
      <c r="A621" s="71" t="n"/>
    </row>
    <row r="623">
      <c r="A623" s="71" t="n"/>
    </row>
    <row r="625">
      <c r="A625" s="71" t="n"/>
    </row>
    <row r="627">
      <c r="A627" s="71" t="n"/>
    </row>
    <row r="629">
      <c r="A629" s="71" t="n"/>
    </row>
    <row r="631">
      <c r="A631" s="71" t="n"/>
    </row>
    <row r="633">
      <c r="A633" s="71" t="n"/>
    </row>
    <row r="635">
      <c r="A635" s="71" t="n"/>
    </row>
    <row r="637">
      <c r="A637" s="71" t="n"/>
    </row>
    <row r="639">
      <c r="A639" s="71" t="n"/>
    </row>
    <row r="641">
      <c r="A641" s="71" t="n"/>
    </row>
    <row r="643">
      <c r="A643" s="71" t="n"/>
    </row>
    <row r="645">
      <c r="A645" s="71" t="n"/>
    </row>
    <row r="647">
      <c r="A647" s="71" t="n"/>
    </row>
    <row r="649">
      <c r="A649" s="71" t="n"/>
    </row>
    <row r="651">
      <c r="A651" s="71" t="n"/>
    </row>
    <row r="653">
      <c r="A653" s="71" t="n"/>
    </row>
    <row r="655">
      <c r="A655" s="71" t="n"/>
    </row>
    <row r="657">
      <c r="A657" s="71" t="n"/>
    </row>
    <row r="659">
      <c r="A659" s="71" t="n"/>
    </row>
    <row r="661">
      <c r="A661" s="71" t="n"/>
    </row>
    <row r="663">
      <c r="A663" s="71" t="n"/>
    </row>
    <row r="665">
      <c r="A665" s="71" t="n"/>
    </row>
    <row r="667">
      <c r="A667" s="71" t="n"/>
    </row>
    <row r="669">
      <c r="A669" s="71" t="n"/>
    </row>
    <row r="671">
      <c r="A671" s="71" t="n"/>
    </row>
    <row r="673">
      <c r="A673" s="71" t="n"/>
    </row>
    <row r="675">
      <c r="A675" s="71" t="n"/>
    </row>
    <row r="677">
      <c r="A677" s="71" t="n"/>
    </row>
    <row r="679">
      <c r="A679" s="71" t="n"/>
    </row>
    <row r="681">
      <c r="A681" s="71" t="n"/>
    </row>
    <row r="683">
      <c r="A683" s="71" t="n"/>
    </row>
    <row r="685">
      <c r="A685" s="71" t="n"/>
    </row>
    <row r="687">
      <c r="A687" s="71" t="n"/>
    </row>
    <row r="689">
      <c r="A689" s="71" t="n"/>
    </row>
    <row r="691">
      <c r="A691" s="71" t="n"/>
    </row>
    <row r="693">
      <c r="A693" s="71" t="n"/>
    </row>
    <row r="695">
      <c r="A695" s="71" t="n"/>
    </row>
    <row r="697">
      <c r="A697" s="71" t="n"/>
    </row>
    <row r="699">
      <c r="A699" s="71" t="n"/>
    </row>
    <row r="701">
      <c r="A701" s="71" t="n"/>
    </row>
    <row r="703">
      <c r="A703" s="71" t="n"/>
    </row>
    <row r="705">
      <c r="A705" s="71" t="n"/>
    </row>
    <row r="707">
      <c r="A707" s="71" t="n"/>
    </row>
    <row r="709">
      <c r="A709" s="71" t="n"/>
    </row>
    <row r="711">
      <c r="A711" s="71" t="n"/>
    </row>
    <row r="713">
      <c r="A713" s="71" t="n"/>
    </row>
    <row r="715">
      <c r="A715" s="71" t="n"/>
    </row>
    <row r="717">
      <c r="A717" s="71" t="n"/>
    </row>
    <row r="719">
      <c r="A719" s="71" t="n"/>
    </row>
    <row r="721">
      <c r="A721" s="71" t="n"/>
    </row>
    <row r="723">
      <c r="A723" s="71" t="n"/>
    </row>
    <row r="725">
      <c r="A725" s="71" t="n"/>
    </row>
    <row r="727">
      <c r="A727" s="71" t="n"/>
    </row>
    <row r="729">
      <c r="A729" s="71" t="n"/>
    </row>
    <row r="731">
      <c r="A731" s="71" t="n"/>
    </row>
    <row r="733">
      <c r="A733" s="71" t="n"/>
    </row>
    <row r="735">
      <c r="A735" s="71" t="n"/>
    </row>
    <row r="737">
      <c r="A737" s="71" t="n"/>
    </row>
    <row r="739">
      <c r="A739" s="71" t="n"/>
    </row>
    <row r="741">
      <c r="A741" s="71" t="n"/>
    </row>
    <row r="743">
      <c r="A743" s="71" t="n"/>
    </row>
    <row r="745">
      <c r="A745" s="71" t="n"/>
    </row>
    <row r="747">
      <c r="A747" s="71" t="n"/>
    </row>
    <row r="749">
      <c r="A749" s="71" t="n"/>
    </row>
    <row r="751">
      <c r="A751" s="71" t="n"/>
    </row>
    <row r="753">
      <c r="A753" s="71" t="n"/>
    </row>
    <row r="755">
      <c r="A755" s="71" t="n"/>
    </row>
    <row r="757">
      <c r="A757" s="71" t="n"/>
    </row>
    <row r="759">
      <c r="A759" s="71" t="n"/>
    </row>
    <row r="761">
      <c r="A761" s="71" t="n"/>
    </row>
    <row r="763">
      <c r="A763" s="71" t="n"/>
    </row>
    <row r="765">
      <c r="A765" s="71" t="n"/>
    </row>
    <row r="767">
      <c r="A767" s="71" t="n"/>
    </row>
    <row r="769">
      <c r="A769" s="71" t="n"/>
    </row>
    <row r="771">
      <c r="A771" s="71" t="n"/>
    </row>
    <row r="773">
      <c r="A773" s="71" t="n"/>
    </row>
    <row r="775">
      <c r="A775" s="71" t="n"/>
    </row>
    <row r="777">
      <c r="A777" s="71" t="n"/>
    </row>
    <row r="779">
      <c r="A779" s="71" t="n"/>
    </row>
    <row r="781">
      <c r="A781" s="71" t="n"/>
    </row>
    <row r="783">
      <c r="A783" s="71" t="n"/>
    </row>
    <row r="785">
      <c r="A785" s="71" t="n"/>
    </row>
    <row r="787">
      <c r="A787" s="71" t="n"/>
    </row>
    <row r="789">
      <c r="A789" s="71" t="n"/>
    </row>
    <row r="791">
      <c r="A791" s="71" t="n"/>
    </row>
    <row r="793">
      <c r="A793" s="71" t="n"/>
    </row>
    <row r="795">
      <c r="A795" s="71" t="n"/>
    </row>
    <row r="797">
      <c r="A797" s="71" t="n"/>
    </row>
    <row r="799">
      <c r="A799" s="71" t="n"/>
    </row>
    <row r="801">
      <c r="A801" s="71" t="n"/>
    </row>
    <row r="803">
      <c r="A803" s="71" t="n"/>
    </row>
    <row r="805">
      <c r="A805" s="71" t="n"/>
    </row>
    <row r="807">
      <c r="A807" s="71" t="n"/>
    </row>
    <row r="809">
      <c r="A809" s="71" t="n"/>
    </row>
    <row r="811">
      <c r="A811" s="71" t="n"/>
    </row>
    <row r="813">
      <c r="A813" s="71" t="n"/>
    </row>
    <row r="815">
      <c r="A815" s="71" t="n"/>
    </row>
    <row r="817">
      <c r="A817" s="71" t="n"/>
    </row>
    <row r="819">
      <c r="A819" s="71" t="n"/>
    </row>
    <row r="821">
      <c r="A821" s="71" t="n"/>
    </row>
    <row r="823">
      <c r="A823" s="71" t="n"/>
    </row>
    <row r="825">
      <c r="A825" s="71" t="n"/>
    </row>
    <row r="827">
      <c r="A827" s="71" t="n"/>
    </row>
    <row r="829">
      <c r="A829" s="71" t="n"/>
    </row>
    <row r="831">
      <c r="A831" s="71" t="n"/>
    </row>
    <row r="833">
      <c r="A833" s="71" t="n"/>
    </row>
    <row r="835">
      <c r="A835" s="71" t="n"/>
    </row>
    <row r="837">
      <c r="A837" s="71" t="n"/>
    </row>
    <row r="839">
      <c r="A839" s="71" t="n"/>
    </row>
    <row r="841">
      <c r="A841" s="71" t="n"/>
    </row>
    <row r="843">
      <c r="A843" s="71" t="n"/>
    </row>
    <row r="845">
      <c r="A845" s="71" t="n"/>
    </row>
    <row r="847">
      <c r="A847" s="71" t="n"/>
    </row>
    <row r="849">
      <c r="A849" s="71" t="n"/>
    </row>
    <row r="851">
      <c r="A851" s="71" t="n"/>
    </row>
    <row r="853">
      <c r="A853" s="71" t="n"/>
    </row>
    <row r="855">
      <c r="A855" s="71" t="n"/>
    </row>
    <row r="857">
      <c r="A857" s="71" t="n"/>
    </row>
    <row r="859">
      <c r="A859" s="71" t="n"/>
    </row>
    <row r="861">
      <c r="A861" s="71" t="n"/>
    </row>
    <row r="863">
      <c r="A863" s="71" t="n"/>
    </row>
    <row r="865">
      <c r="A865" s="71" t="n"/>
    </row>
    <row r="867">
      <c r="A867" s="71" t="n"/>
    </row>
    <row r="869">
      <c r="A869" s="71" t="n"/>
    </row>
    <row r="871">
      <c r="A871" s="71" t="n"/>
    </row>
    <row r="873">
      <c r="A873" s="71" t="n"/>
    </row>
    <row r="875">
      <c r="A875" s="71" t="n"/>
    </row>
    <row r="877">
      <c r="A877" s="71" t="n"/>
    </row>
    <row r="879">
      <c r="A879" s="71" t="n"/>
    </row>
    <row r="881">
      <c r="A881" s="71" t="n"/>
    </row>
    <row r="883">
      <c r="A883" s="71" t="n"/>
    </row>
    <row r="885">
      <c r="A885" s="71" t="n"/>
    </row>
    <row r="887">
      <c r="A887" s="71" t="n"/>
    </row>
    <row r="889">
      <c r="A889" s="71" t="n"/>
    </row>
    <row r="891">
      <c r="A891" s="71" t="n"/>
    </row>
    <row r="893">
      <c r="A893" s="71" t="n"/>
    </row>
    <row r="895">
      <c r="A895" s="71" t="n"/>
    </row>
    <row r="897">
      <c r="A897" s="71" t="n"/>
    </row>
    <row r="899">
      <c r="A899" s="71" t="n"/>
    </row>
    <row r="901">
      <c r="A901" s="71" t="n"/>
    </row>
    <row r="903">
      <c r="A903" s="71" t="n"/>
    </row>
    <row r="905">
      <c r="A905" s="71" t="n"/>
    </row>
    <row r="907">
      <c r="A907" s="71" t="n"/>
    </row>
    <row r="909">
      <c r="A909" s="71" t="n"/>
    </row>
    <row r="911">
      <c r="A911" s="71" t="n"/>
    </row>
    <row r="913">
      <c r="A913" s="71" t="n"/>
    </row>
    <row r="915">
      <c r="A915" s="71" t="n"/>
    </row>
    <row r="917">
      <c r="A917" s="71" t="n"/>
    </row>
    <row r="919">
      <c r="A919" s="71" t="n"/>
    </row>
    <row r="921">
      <c r="A921" s="71" t="n"/>
    </row>
    <row r="923">
      <c r="A923" s="71" t="n"/>
    </row>
    <row r="925">
      <c r="A925" s="71" t="n"/>
    </row>
    <row r="927">
      <c r="A927" s="71" t="n"/>
    </row>
    <row r="929">
      <c r="A929" s="71" t="n"/>
    </row>
    <row r="931">
      <c r="A931" s="71" t="n"/>
    </row>
    <row r="933">
      <c r="A933" s="71" t="n"/>
    </row>
    <row r="935">
      <c r="A935" s="71" t="n"/>
    </row>
    <row r="937">
      <c r="A937" s="71" t="n"/>
    </row>
    <row r="939">
      <c r="A939" s="71" t="n"/>
    </row>
    <row r="941">
      <c r="A941" s="71" t="n"/>
    </row>
    <row r="943">
      <c r="A943" s="71" t="n"/>
    </row>
    <row r="945">
      <c r="A945" s="71" t="n"/>
    </row>
    <row r="947">
      <c r="A947" s="71" t="n"/>
    </row>
    <row r="949">
      <c r="A949" s="71" t="n"/>
    </row>
    <row r="951">
      <c r="A951" s="71" t="n"/>
    </row>
    <row r="953">
      <c r="A953" s="71" t="n"/>
    </row>
    <row r="955">
      <c r="A955" s="71" t="n"/>
    </row>
    <row r="957">
      <c r="A957" s="71" t="n"/>
    </row>
    <row r="959">
      <c r="A959" s="71" t="n"/>
    </row>
    <row r="961">
      <c r="A961" s="71" t="n"/>
    </row>
    <row r="963">
      <c r="A963" s="71" t="n"/>
    </row>
    <row r="965">
      <c r="A965" s="71" t="n"/>
    </row>
    <row r="967">
      <c r="A967" s="71" t="n"/>
    </row>
    <row r="969">
      <c r="A969" s="71" t="n"/>
    </row>
    <row r="971">
      <c r="A971" s="71" t="n"/>
    </row>
    <row r="973">
      <c r="A973" s="71" t="n"/>
    </row>
    <row r="975">
      <c r="A975" s="71" t="n"/>
    </row>
    <row r="977">
      <c r="A977" s="71" t="n"/>
    </row>
    <row r="979">
      <c r="A979" s="71" t="n"/>
    </row>
    <row r="981">
      <c r="A981" s="71" t="n"/>
    </row>
    <row r="983">
      <c r="A983" s="71" t="n"/>
    </row>
    <row r="985">
      <c r="A985" s="71" t="n"/>
    </row>
    <row r="987">
      <c r="A987" s="71" t="n"/>
    </row>
    <row r="989">
      <c r="A989" s="71" t="n"/>
    </row>
    <row r="991">
      <c r="A991" s="71" t="n"/>
    </row>
    <row r="993">
      <c r="A993" s="71" t="n"/>
    </row>
    <row r="995">
      <c r="A995" s="71" t="n"/>
    </row>
    <row r="997">
      <c r="A997" s="71" t="n"/>
    </row>
    <row r="999">
      <c r="A999" s="71" t="n"/>
    </row>
    <row r="1001">
      <c r="A1001" s="71" t="n"/>
    </row>
    <row r="1003">
      <c r="A1003" s="71" t="n"/>
    </row>
    <row r="1005">
      <c r="A1005" s="71" t="n"/>
    </row>
    <row r="1007">
      <c r="A1007" s="71" t="n"/>
    </row>
    <row r="1009">
      <c r="A1009" s="71" t="n"/>
    </row>
    <row r="1011">
      <c r="A1011" s="71" t="n"/>
    </row>
    <row r="1013">
      <c r="A1013" s="71" t="n"/>
    </row>
    <row r="1015">
      <c r="A1015" s="71" t="n"/>
    </row>
    <row r="1017">
      <c r="A1017" s="71" t="n"/>
    </row>
    <row r="1019">
      <c r="A1019" s="71" t="n"/>
    </row>
    <row r="1021">
      <c r="A1021" s="71" t="n"/>
    </row>
    <row r="1023">
      <c r="A1023" s="71" t="n"/>
    </row>
    <row r="1024">
      <c r="A1024" s="71" t="n"/>
    </row>
    <row r="1025">
      <c r="A1025" s="72" t="n"/>
      <c r="B1025" s="73" t="n"/>
      <c r="C1025" s="88" t="n"/>
      <c r="D1025" s="78" t="n"/>
    </row>
    <row r="1026">
      <c r="A1026" s="72" t="n"/>
    </row>
    <row r="1027">
      <c r="A1027" s="72" t="n"/>
      <c r="B1027" s="73" t="n"/>
      <c r="C1027" s="88" t="n"/>
      <c r="D1027" s="78" t="n"/>
    </row>
    <row r="1028">
      <c r="A1028" s="72" t="n"/>
    </row>
    <row r="1029">
      <c r="A1029" s="72" t="n"/>
    </row>
    <row r="1030">
      <c r="A1030" s="72" t="n"/>
      <c r="B1030" s="73" t="n"/>
      <c r="C1030" s="88" t="n"/>
    </row>
    <row r="1031">
      <c r="A1031" s="72" t="n"/>
      <c r="B1031" s="73" t="n"/>
      <c r="C1031" s="88" t="n"/>
    </row>
    <row r="1032">
      <c r="A1032" s="72" t="n"/>
    </row>
    <row r="1033">
      <c r="A1033" s="72" t="n"/>
    </row>
    <row r="1034">
      <c r="A1034" s="72" t="n"/>
    </row>
    <row r="1035">
      <c r="A1035" s="72" t="n"/>
    </row>
    <row r="1036">
      <c r="A1036" s="72" t="n"/>
    </row>
    <row r="1037">
      <c r="A1037" s="72" t="n"/>
    </row>
    <row r="1038">
      <c r="A1038" s="72" t="n"/>
    </row>
    <row r="1039">
      <c r="A1039" s="72" t="n"/>
      <c r="B1039" s="73" t="n"/>
      <c r="C1039" s="88" t="n"/>
    </row>
    <row r="1040">
      <c r="A1040" s="72" t="n"/>
    </row>
    <row r="1041">
      <c r="A1041" s="72" t="n"/>
      <c r="B1041" s="73" t="n"/>
      <c r="C1041" s="88" t="n"/>
    </row>
    <row r="1042">
      <c r="A1042" s="72" t="n"/>
    </row>
    <row r="1043">
      <c r="A1043" s="72" t="n"/>
    </row>
    <row r="1044">
      <c r="A1044" s="71" t="n"/>
    </row>
    <row r="1046">
      <c r="A1046" s="71" t="n"/>
    </row>
    <row r="1048">
      <c r="A1048" s="71" t="n"/>
    </row>
    <row r="1050">
      <c r="A1050" s="71" t="n"/>
    </row>
    <row r="1052">
      <c r="A1052" s="71" t="n"/>
    </row>
    <row r="1054">
      <c r="A1054" s="71" t="n"/>
    </row>
    <row r="1056">
      <c r="A1056" s="71" t="n"/>
    </row>
    <row r="1058">
      <c r="A1058" s="71" t="n"/>
    </row>
    <row r="1060">
      <c r="A1060" s="71" t="n"/>
    </row>
    <row r="1062">
      <c r="A1062" s="71" t="n"/>
    </row>
    <row r="1064">
      <c r="A1064" s="71" t="n"/>
    </row>
    <row r="1066">
      <c r="A1066" s="71" t="n"/>
    </row>
    <row r="1068">
      <c r="A1068" s="71" t="n"/>
    </row>
    <row r="1070">
      <c r="A1070" s="71" t="n"/>
    </row>
    <row r="1072">
      <c r="A1072" s="71" t="n"/>
    </row>
    <row r="1074">
      <c r="A1074" s="71" t="n"/>
    </row>
    <row r="1076">
      <c r="A1076" s="71" t="n"/>
    </row>
    <row r="1078">
      <c r="A1078" s="71" t="n"/>
    </row>
    <row r="1080">
      <c r="A1080" s="71" t="n"/>
    </row>
    <row r="1082">
      <c r="A1082" s="71" t="n"/>
    </row>
    <row r="1084">
      <c r="A1084" s="71" t="n"/>
    </row>
    <row r="1086">
      <c r="A1086" s="71" t="n"/>
    </row>
    <row r="1088">
      <c r="A1088" s="71" t="n"/>
    </row>
    <row r="1090">
      <c r="A1090" s="71" t="n"/>
    </row>
    <row r="1092">
      <c r="A1092" s="71" t="n"/>
    </row>
    <row r="1094">
      <c r="A1094" s="71" t="n"/>
    </row>
    <row r="1096">
      <c r="A1096" s="71" t="n"/>
    </row>
    <row r="1098">
      <c r="A1098" s="71" t="n"/>
    </row>
    <row r="1100">
      <c r="A1100" s="71" t="n"/>
    </row>
    <row r="1102">
      <c r="A1102" s="71" t="n"/>
    </row>
    <row r="1104">
      <c r="A1104" s="71" t="n"/>
    </row>
    <row r="1106">
      <c r="A1106" s="71" t="n"/>
    </row>
    <row r="1108">
      <c r="A1108" s="71" t="n"/>
    </row>
    <row r="1110">
      <c r="A1110" s="71" t="n"/>
    </row>
    <row r="1112">
      <c r="A1112" s="71" t="n"/>
    </row>
    <row r="1114">
      <c r="A1114" s="71" t="n"/>
    </row>
    <row r="1116">
      <c r="A1116" s="71" t="n"/>
    </row>
    <row r="1118">
      <c r="A1118" s="71" t="n"/>
    </row>
    <row r="1120">
      <c r="A1120" s="71" t="n"/>
    </row>
    <row r="1122">
      <c r="A1122" s="71" t="n"/>
    </row>
    <row r="1124">
      <c r="A1124" s="71" t="n"/>
    </row>
    <row r="1126">
      <c r="A1126" s="71" t="n"/>
    </row>
    <row r="1128">
      <c r="A1128" s="71" t="n"/>
    </row>
    <row r="1130">
      <c r="A1130" s="71" t="n"/>
    </row>
    <row r="1132">
      <c r="A1132" s="71" t="n"/>
    </row>
    <row r="1134">
      <c r="A1134" s="71" t="n"/>
    </row>
    <row r="1136">
      <c r="A1136" s="71" t="n"/>
    </row>
    <row r="1138">
      <c r="A1138" s="71" t="n"/>
    </row>
    <row r="1140">
      <c r="A1140" s="71" t="n"/>
    </row>
    <row r="1142">
      <c r="A1142" s="71" t="n"/>
    </row>
    <row r="1144">
      <c r="A1144" s="71" t="n"/>
    </row>
    <row r="1146">
      <c r="A1146" s="71" t="n"/>
    </row>
    <row r="1148">
      <c r="A1148" s="71" t="n"/>
    </row>
    <row r="1150">
      <c r="A1150" s="71" t="n"/>
    </row>
    <row r="1152">
      <c r="A1152" s="71" t="n"/>
    </row>
    <row r="1154">
      <c r="A1154" s="71" t="n"/>
    </row>
    <row r="1156">
      <c r="A1156" s="71" t="n"/>
    </row>
    <row r="1158">
      <c r="A1158" s="71" t="n"/>
    </row>
    <row r="1160">
      <c r="A1160" s="71" t="n"/>
    </row>
    <row r="1162">
      <c r="A1162" s="71" t="n"/>
    </row>
    <row r="1164">
      <c r="A1164" s="71" t="n"/>
    </row>
    <row r="1166">
      <c r="A1166" s="71" t="n"/>
    </row>
    <row r="1168">
      <c r="A1168" s="71" t="n"/>
    </row>
    <row r="1170">
      <c r="A1170" s="71" t="n"/>
    </row>
    <row r="1172">
      <c r="A1172" s="71" t="n"/>
    </row>
    <row r="1174">
      <c r="A1174" s="71" t="n"/>
    </row>
    <row r="1176">
      <c r="A1176" s="71" t="n"/>
    </row>
    <row r="1178">
      <c r="A1178" s="71" t="n"/>
    </row>
    <row r="1180">
      <c r="A1180" s="71" t="n"/>
    </row>
    <row r="1182">
      <c r="A1182" s="71" t="n"/>
    </row>
    <row r="1184">
      <c r="A1184" s="71" t="n"/>
    </row>
    <row r="1186">
      <c r="A1186" s="71" t="n"/>
    </row>
    <row r="1188">
      <c r="A1188" s="71" t="n"/>
    </row>
    <row r="1190">
      <c r="A1190" s="71" t="n"/>
    </row>
    <row r="1192">
      <c r="A1192" s="71" t="n"/>
    </row>
    <row r="1194">
      <c r="A1194" s="71" t="n"/>
    </row>
    <row r="1196">
      <c r="A1196" s="71" t="n"/>
    </row>
    <row r="1198">
      <c r="A1198" s="71" t="n"/>
    </row>
    <row r="1200">
      <c r="A1200" s="71" t="n"/>
    </row>
    <row r="1202">
      <c r="A1202" s="71" t="n"/>
    </row>
    <row r="1204">
      <c r="A1204" s="71" t="n"/>
    </row>
    <row r="1206">
      <c r="A1206" s="71" t="n"/>
    </row>
    <row r="1208">
      <c r="A1208" s="71" t="n"/>
    </row>
    <row r="1210">
      <c r="A1210" s="71" t="n"/>
    </row>
    <row r="1212">
      <c r="A1212" s="71" t="n"/>
    </row>
    <row r="1214">
      <c r="A1214" s="71" t="n"/>
    </row>
    <row r="1216">
      <c r="A1216" s="71" t="n"/>
    </row>
    <row r="1218">
      <c r="A1218" s="71" t="n"/>
    </row>
    <row r="1220">
      <c r="A1220" s="71" t="n"/>
    </row>
    <row r="1222">
      <c r="A1222" s="71" t="n"/>
    </row>
    <row r="1224">
      <c r="A1224" s="71" t="n"/>
    </row>
    <row r="1226">
      <c r="A1226" s="71" t="n"/>
    </row>
    <row r="1228">
      <c r="A1228" s="71" t="n"/>
    </row>
    <row r="1230">
      <c r="A1230" s="71" t="n"/>
    </row>
    <row r="1232">
      <c r="A1232" s="71" t="n"/>
    </row>
    <row r="1234">
      <c r="A1234" s="71" t="n"/>
    </row>
    <row r="1236">
      <c r="A1236" s="71" t="n"/>
    </row>
    <row r="1238">
      <c r="A1238" s="71" t="n"/>
    </row>
    <row r="1240">
      <c r="A1240" s="71" t="n"/>
    </row>
    <row r="1242">
      <c r="A1242" s="71" t="n"/>
    </row>
    <row r="1244">
      <c r="A1244" s="71" t="n"/>
    </row>
    <row r="1246">
      <c r="A1246" s="71" t="n"/>
    </row>
    <row r="1248">
      <c r="A1248" s="71" t="n"/>
    </row>
    <row r="1250">
      <c r="A1250" s="71" t="n"/>
    </row>
    <row r="1252">
      <c r="A1252" s="71" t="n"/>
    </row>
    <row r="1254">
      <c r="A1254" s="71" t="n"/>
    </row>
    <row r="1256">
      <c r="A1256" s="71" t="n"/>
    </row>
    <row r="1258">
      <c r="A1258" s="71" t="n"/>
    </row>
    <row r="1260">
      <c r="A1260" s="71" t="n"/>
    </row>
    <row r="1262">
      <c r="A1262" s="71" t="n"/>
    </row>
    <row r="1264">
      <c r="A1264" s="71" t="n"/>
    </row>
    <row r="1266">
      <c r="A1266" s="71" t="n"/>
    </row>
    <row r="1268">
      <c r="A1268" s="71" t="n"/>
    </row>
    <row r="1270">
      <c r="A1270" s="71" t="n"/>
    </row>
    <row r="1272">
      <c r="A1272" s="71" t="n"/>
    </row>
    <row r="1274">
      <c r="A1274" s="71" t="n"/>
    </row>
    <row r="1276">
      <c r="A1276" s="71" t="n"/>
    </row>
    <row r="1278">
      <c r="A1278" s="71" t="n"/>
    </row>
    <row r="1280">
      <c r="A1280" s="71" t="n"/>
    </row>
    <row r="1282">
      <c r="A1282" s="71" t="n"/>
    </row>
    <row r="1284">
      <c r="A1284" s="71" t="n"/>
    </row>
    <row r="1286">
      <c r="A1286" s="71" t="n"/>
    </row>
    <row r="1288">
      <c r="A1288" s="71" t="n"/>
    </row>
    <row r="1290">
      <c r="A1290" s="71" t="n"/>
    </row>
    <row r="1292">
      <c r="A1292" s="71" t="n"/>
    </row>
    <row r="1294">
      <c r="A1294" s="71" t="n"/>
    </row>
    <row r="1296">
      <c r="A1296" s="71" t="n"/>
    </row>
    <row r="1298">
      <c r="A1298" s="71" t="n"/>
    </row>
    <row r="1300">
      <c r="A1300" s="71" t="n"/>
    </row>
    <row r="1302">
      <c r="A1302" s="71" t="n"/>
    </row>
    <row r="1304">
      <c r="A1304" s="71" t="n"/>
    </row>
    <row r="1306">
      <c r="A1306" s="71" t="n"/>
    </row>
    <row r="1308">
      <c r="A1308" s="71" t="n"/>
    </row>
    <row r="1310">
      <c r="A1310" s="71" t="n"/>
    </row>
    <row r="1312">
      <c r="A1312" s="71" t="n"/>
    </row>
    <row r="1314">
      <c r="A1314" s="71" t="n"/>
    </row>
    <row r="1316">
      <c r="A1316" s="71" t="n"/>
    </row>
    <row r="1318">
      <c r="A1318" s="71" t="n"/>
    </row>
    <row r="1320">
      <c r="A1320" s="71" t="n"/>
    </row>
    <row r="1322">
      <c r="A1322" s="71" t="n"/>
    </row>
    <row r="1324">
      <c r="A1324" s="71" t="n"/>
    </row>
    <row r="1326">
      <c r="A1326" s="71" t="n"/>
    </row>
    <row r="1328">
      <c r="A1328" s="71" t="n"/>
    </row>
    <row r="1330">
      <c r="A1330" s="71" t="n"/>
    </row>
    <row r="1332">
      <c r="A1332" s="71" t="n"/>
    </row>
    <row r="1334">
      <c r="A1334" s="71" t="n"/>
    </row>
    <row r="1336">
      <c r="A1336" s="71" t="n"/>
    </row>
    <row r="1338">
      <c r="A1338" s="71" t="n"/>
    </row>
    <row r="1340">
      <c r="A1340" s="71" t="n"/>
    </row>
    <row r="1342">
      <c r="A1342" s="71" t="n"/>
    </row>
    <row r="1344">
      <c r="A1344" s="71" t="n"/>
    </row>
    <row r="1346">
      <c r="A1346" s="71" t="n"/>
    </row>
    <row r="1348">
      <c r="A1348" s="71" t="n"/>
    </row>
    <row r="1350">
      <c r="A1350" s="71" t="n"/>
    </row>
    <row r="1352">
      <c r="A1352" s="71" t="n"/>
    </row>
    <row r="1354">
      <c r="A1354" s="71" t="n"/>
    </row>
    <row r="1356">
      <c r="A1356" s="71" t="n"/>
    </row>
    <row r="1358">
      <c r="A1358" s="71" t="n"/>
    </row>
    <row r="1360">
      <c r="A1360" s="71" t="n"/>
    </row>
    <row r="1362">
      <c r="A1362" s="71" t="n"/>
    </row>
    <row r="1364">
      <c r="A1364" s="71" t="n"/>
    </row>
    <row r="1366">
      <c r="A1366" s="71" t="n"/>
    </row>
    <row r="1368">
      <c r="A1368" s="71" t="n"/>
    </row>
    <row r="1370">
      <c r="A1370" s="71" t="n"/>
    </row>
    <row r="1372">
      <c r="A1372" s="71" t="n"/>
    </row>
    <row r="1374">
      <c r="A1374" s="71" t="n"/>
    </row>
    <row r="1376">
      <c r="A1376" s="71" t="n"/>
    </row>
    <row r="1378">
      <c r="A1378" s="71" t="n"/>
    </row>
    <row r="1380">
      <c r="A1380" s="71" t="n"/>
    </row>
    <row r="1382">
      <c r="A1382" s="71" t="n"/>
    </row>
    <row r="1384">
      <c r="A1384" s="71" t="n"/>
    </row>
    <row r="1386">
      <c r="A1386" s="71" t="n"/>
    </row>
    <row r="1388">
      <c r="A1388" s="71" t="n"/>
    </row>
    <row r="1390">
      <c r="A1390" s="71" t="n"/>
    </row>
    <row r="1392">
      <c r="A1392" s="71" t="n"/>
    </row>
    <row r="1394">
      <c r="A1394" s="71" t="n"/>
    </row>
    <row r="1396">
      <c r="A1396" s="71" t="n"/>
    </row>
    <row r="1398">
      <c r="A1398" s="71" t="n"/>
    </row>
    <row r="1400">
      <c r="A1400" s="71" t="n"/>
    </row>
    <row r="1402">
      <c r="A1402" s="71" t="n"/>
    </row>
    <row r="1404">
      <c r="A1404" s="71" t="n"/>
    </row>
    <row r="1406">
      <c r="A1406" s="71" t="n"/>
    </row>
    <row r="1408">
      <c r="A1408" s="71" t="n"/>
    </row>
    <row r="1410">
      <c r="A1410" s="71" t="n"/>
    </row>
    <row r="1412">
      <c r="A1412" s="71" t="n"/>
    </row>
    <row r="1414">
      <c r="A1414" s="71" t="n"/>
    </row>
    <row r="1416">
      <c r="A1416" s="71" t="n"/>
    </row>
    <row r="1418">
      <c r="A1418" s="71" t="n"/>
    </row>
    <row r="1420">
      <c r="A1420" s="71" t="n"/>
    </row>
    <row r="1422">
      <c r="A1422" s="71" t="n"/>
    </row>
    <row r="1424">
      <c r="A1424" s="71" t="n"/>
    </row>
    <row r="1426">
      <c r="A1426" s="71" t="n"/>
    </row>
    <row r="1428">
      <c r="A1428" s="71" t="n"/>
    </row>
    <row r="1430">
      <c r="A1430" s="71" t="n"/>
    </row>
    <row r="1432">
      <c r="A1432" s="71" t="n"/>
    </row>
    <row r="1434">
      <c r="A1434" s="71" t="n"/>
    </row>
    <row r="1436">
      <c r="A1436" s="71" t="n"/>
    </row>
    <row r="1438">
      <c r="A1438" s="71" t="n"/>
    </row>
    <row r="1440">
      <c r="A1440" s="71" t="n"/>
    </row>
    <row r="1442">
      <c r="A1442" s="71" t="n"/>
    </row>
    <row r="1444">
      <c r="A1444" s="71" t="n"/>
    </row>
    <row r="1446">
      <c r="A1446" s="71" t="n"/>
    </row>
    <row r="1448">
      <c r="A1448" s="71" t="n"/>
    </row>
    <row r="1450">
      <c r="A1450" s="71" t="n"/>
    </row>
    <row r="1452">
      <c r="A1452" s="71" t="n"/>
    </row>
    <row r="1454">
      <c r="A1454" s="71" t="n"/>
    </row>
    <row r="1456">
      <c r="A1456" s="71" t="n"/>
    </row>
    <row r="1458">
      <c r="A1458" s="71" t="n"/>
    </row>
    <row r="1460">
      <c r="A1460" s="71" t="n"/>
    </row>
    <row r="1462">
      <c r="A1462" s="71" t="n"/>
    </row>
    <row r="1464">
      <c r="A1464" s="71" t="n"/>
    </row>
    <row r="1466">
      <c r="A1466" s="71" t="n"/>
    </row>
    <row r="1468">
      <c r="A1468" s="71" t="n"/>
    </row>
    <row r="1470">
      <c r="A1470" s="71" t="n"/>
    </row>
    <row r="1472">
      <c r="A1472" s="71" t="n"/>
    </row>
    <row r="1474">
      <c r="A1474" s="71" t="n"/>
    </row>
    <row r="1476">
      <c r="A1476" s="71" t="n"/>
    </row>
    <row r="1478">
      <c r="A1478" s="71" t="n"/>
    </row>
    <row r="1480">
      <c r="A1480" s="71" t="n"/>
    </row>
    <row r="1482">
      <c r="A1482" s="71" t="n"/>
    </row>
    <row r="1484">
      <c r="A1484" s="71" t="n"/>
    </row>
    <row r="1486">
      <c r="A1486" s="71" t="n"/>
    </row>
    <row r="1488">
      <c r="A1488" s="71" t="n"/>
    </row>
    <row r="1490">
      <c r="A1490" s="71" t="n"/>
    </row>
    <row r="1492">
      <c r="A1492" s="71" t="n"/>
    </row>
    <row r="1494">
      <c r="A1494" s="71" t="n"/>
    </row>
    <row r="1496">
      <c r="A1496" s="71" t="n"/>
    </row>
    <row r="1498">
      <c r="A1498" s="71" t="n"/>
    </row>
    <row r="1500">
      <c r="A1500" s="71" t="n"/>
    </row>
    <row r="1502">
      <c r="A1502" s="71" t="n"/>
    </row>
    <row r="1504">
      <c r="A1504" s="71" t="n"/>
    </row>
    <row r="1506">
      <c r="A1506" s="71" t="n"/>
    </row>
    <row r="1508">
      <c r="A1508" s="71" t="n"/>
    </row>
    <row r="1510">
      <c r="A1510" s="71" t="n"/>
    </row>
    <row r="1512">
      <c r="A1512" s="71" t="n"/>
    </row>
    <row r="1514">
      <c r="A1514" s="71" t="n"/>
    </row>
    <row r="1516">
      <c r="A1516" s="71" t="n"/>
    </row>
    <row r="1518">
      <c r="A1518" s="71" t="n"/>
    </row>
    <row r="1520">
      <c r="A1520" s="71" t="n"/>
    </row>
    <row r="1522">
      <c r="A1522" s="71" t="n"/>
    </row>
    <row r="1524">
      <c r="A1524" s="71" t="n"/>
    </row>
    <row r="1526">
      <c r="A1526" s="71" t="n"/>
    </row>
    <row r="1528">
      <c r="A1528" s="71" t="n"/>
    </row>
    <row r="1530">
      <c r="A1530" s="71" t="n"/>
    </row>
    <row r="1532">
      <c r="A1532" s="71" t="n"/>
    </row>
    <row r="1534">
      <c r="A1534" s="71" t="n"/>
    </row>
    <row r="1536">
      <c r="A1536" s="71" t="n"/>
    </row>
    <row r="1538">
      <c r="A1538" s="71" t="n"/>
    </row>
    <row r="1540">
      <c r="A1540" s="71" t="n"/>
    </row>
    <row r="1542">
      <c r="A1542" s="71" t="n"/>
    </row>
    <row r="1544">
      <c r="A1544" s="71" t="n"/>
    </row>
    <row r="1546">
      <c r="A1546" s="71" t="n"/>
    </row>
    <row r="1548">
      <c r="A1548" s="71" t="n"/>
    </row>
    <row r="1550">
      <c r="A1550" s="71" t="n"/>
    </row>
    <row r="1552">
      <c r="A1552" s="71" t="n"/>
    </row>
    <row r="1554">
      <c r="A1554" s="71" t="n"/>
    </row>
    <row r="1556">
      <c r="A1556" s="71" t="n"/>
    </row>
    <row r="1558">
      <c r="A1558" s="71" t="n"/>
    </row>
    <row r="1560">
      <c r="A1560" s="71" t="n"/>
    </row>
    <row r="1562">
      <c r="A1562" s="71" t="n"/>
    </row>
    <row r="1564">
      <c r="A1564" s="71" t="n"/>
    </row>
    <row r="1566">
      <c r="A1566" s="71" t="n"/>
    </row>
    <row r="1568">
      <c r="A1568" s="71" t="n"/>
    </row>
    <row r="1570">
      <c r="A1570" s="71" t="n"/>
    </row>
    <row r="1572">
      <c r="A1572" s="71" t="n"/>
    </row>
    <row r="1574">
      <c r="A1574" s="71" t="n"/>
    </row>
    <row r="1576">
      <c r="A1576" s="71" t="n"/>
    </row>
    <row r="1578">
      <c r="A1578" s="71" t="n"/>
    </row>
    <row r="1580">
      <c r="A1580" s="71" t="n"/>
    </row>
    <row r="1582">
      <c r="A1582" s="71" t="n"/>
    </row>
    <row r="1584">
      <c r="A1584" s="71" t="n"/>
    </row>
    <row r="1586">
      <c r="A1586" s="71" t="n"/>
    </row>
    <row r="1588">
      <c r="A1588" s="71" t="n"/>
    </row>
    <row r="1590">
      <c r="A1590" s="71" t="n"/>
    </row>
    <row r="1592">
      <c r="A1592" s="71" t="n"/>
    </row>
    <row r="1594">
      <c r="A1594" s="71" t="n"/>
    </row>
    <row r="1596">
      <c r="A1596" s="71" t="n"/>
    </row>
    <row r="1598">
      <c r="A1598" s="71" t="n"/>
    </row>
    <row r="1600">
      <c r="A1600" s="71" t="n"/>
    </row>
    <row r="1602">
      <c r="A1602" s="71" t="n"/>
    </row>
    <row r="1604">
      <c r="A1604" s="71" t="n"/>
    </row>
    <row r="1606">
      <c r="A1606" s="71" t="n"/>
    </row>
    <row r="1608">
      <c r="A1608" s="71" t="n"/>
    </row>
    <row r="1610">
      <c r="A1610" s="71" t="n"/>
    </row>
    <row r="1612">
      <c r="A1612" s="71" t="n"/>
    </row>
    <row r="1614">
      <c r="A1614" s="71" t="n"/>
    </row>
    <row r="1616">
      <c r="A1616" s="71" t="n"/>
    </row>
    <row r="1618">
      <c r="A1618" s="71" t="n"/>
    </row>
    <row r="1620">
      <c r="A1620" s="71" t="n"/>
    </row>
    <row r="1621">
      <c r="A1621" s="71" t="n"/>
    </row>
    <row r="1622">
      <c r="A1622" s="72" t="n"/>
      <c r="B1622" s="73" t="n"/>
      <c r="C1622" s="88" t="n"/>
    </row>
    <row r="1623">
      <c r="A1623" s="71" t="n"/>
    </row>
    <row r="1625">
      <c r="A1625" s="71" t="n"/>
    </row>
    <row r="1627">
      <c r="A1627" s="71" t="n"/>
    </row>
    <row r="1629">
      <c r="A1629" s="71" t="n"/>
    </row>
    <row r="1631">
      <c r="A1631" s="71" t="n"/>
    </row>
    <row r="1633">
      <c r="A1633" s="71" t="n"/>
    </row>
    <row r="1635">
      <c r="A1635" s="71" t="n"/>
    </row>
    <row r="1637">
      <c r="A1637" s="71" t="n"/>
    </row>
    <row r="1639">
      <c r="A1639" s="71" t="n"/>
    </row>
    <row r="1641">
      <c r="A1641" s="71" t="n"/>
    </row>
    <row r="1642">
      <c r="A1642" s="71" t="n"/>
    </row>
    <row r="1643">
      <c r="A1643" s="72" t="n"/>
      <c r="B1643" s="73" t="n"/>
      <c r="C1643" s="88" t="n"/>
    </row>
    <row r="1644">
      <c r="A1644" s="71" t="n"/>
    </row>
    <row r="1646">
      <c r="A1646" s="71" t="n"/>
    </row>
    <row r="1648">
      <c r="A1648" s="71" t="n"/>
    </row>
    <row r="1650">
      <c r="A1650" s="71" t="n"/>
    </row>
    <row r="1652">
      <c r="A1652" s="71" t="n"/>
    </row>
    <row r="1654">
      <c r="A1654" s="71" t="n"/>
    </row>
    <row r="1656">
      <c r="A1656" s="71" t="n"/>
    </row>
    <row r="1658">
      <c r="A1658" s="71" t="n"/>
    </row>
    <row r="1660">
      <c r="A1660" s="71" t="n"/>
    </row>
    <row r="1662">
      <c r="A1662" s="71" t="n"/>
    </row>
    <row r="1664">
      <c r="A1664" s="71" t="n"/>
    </row>
    <row r="1666">
      <c r="A1666" s="71" t="n"/>
    </row>
    <row r="1668">
      <c r="A1668" s="71" t="n"/>
    </row>
    <row r="1670">
      <c r="A1670" s="71" t="n"/>
    </row>
    <row r="1672">
      <c r="A1672" s="71" t="n"/>
    </row>
    <row r="1674">
      <c r="A1674" s="71" t="n"/>
    </row>
    <row r="1676">
      <c r="A1676" s="71" t="n"/>
    </row>
    <row r="1678">
      <c r="A1678" s="71" t="n"/>
    </row>
    <row r="1680">
      <c r="A1680" s="71" t="n"/>
    </row>
    <row r="1682">
      <c r="A1682" s="71" t="n"/>
    </row>
    <row r="1684">
      <c r="A1684" s="71" t="n"/>
    </row>
    <row r="1686">
      <c r="A1686" s="71" t="n"/>
    </row>
    <row r="1688">
      <c r="A1688" s="71" t="n"/>
    </row>
    <row r="1690">
      <c r="A1690" s="71" t="n"/>
    </row>
    <row r="1692">
      <c r="A1692" s="71" t="n"/>
    </row>
    <row r="1694">
      <c r="A1694" s="71" t="n"/>
    </row>
    <row r="1696">
      <c r="A1696" s="71" t="n"/>
    </row>
    <row r="1698">
      <c r="A1698" s="71" t="n"/>
    </row>
    <row r="1700">
      <c r="A1700" s="71" t="n"/>
    </row>
    <row r="1702">
      <c r="A1702" s="71" t="n"/>
    </row>
    <row r="1704">
      <c r="A1704" s="71" t="n"/>
    </row>
    <row r="1706">
      <c r="A1706" s="71" t="n"/>
    </row>
    <row r="1708">
      <c r="A1708" s="71" t="n"/>
    </row>
    <row r="1710">
      <c r="A1710" s="71" t="n"/>
    </row>
    <row r="1712">
      <c r="A1712" s="71" t="n"/>
    </row>
    <row r="1714">
      <c r="A1714" s="71" t="n"/>
    </row>
    <row r="1716">
      <c r="A1716" s="71" t="n"/>
    </row>
    <row r="1718">
      <c r="A1718" s="71" t="n"/>
    </row>
    <row r="1720">
      <c r="A1720" s="71" t="n"/>
    </row>
    <row r="1722">
      <c r="A1722" s="71" t="n"/>
    </row>
    <row r="1724">
      <c r="A1724" s="71" t="n"/>
    </row>
    <row r="1726">
      <c r="A1726" s="71" t="n"/>
    </row>
    <row r="1728">
      <c r="A1728" s="71" t="n"/>
    </row>
    <row r="1730">
      <c r="A1730" s="71" t="n"/>
    </row>
    <row r="1732">
      <c r="A1732" s="71" t="n"/>
    </row>
    <row r="1734">
      <c r="A1734" s="71" t="n"/>
    </row>
    <row r="1736">
      <c r="A1736" s="71" t="n"/>
    </row>
    <row r="1738">
      <c r="A1738" s="71" t="n"/>
    </row>
    <row r="1740">
      <c r="A1740" s="71" t="n"/>
    </row>
    <row r="1742">
      <c r="A1742" s="71" t="n"/>
    </row>
    <row r="1744">
      <c r="A1744" s="71" t="n"/>
    </row>
    <row r="1746">
      <c r="A1746" s="71" t="n"/>
    </row>
    <row r="1748">
      <c r="A1748" s="71" t="n"/>
    </row>
    <row r="1750">
      <c r="A1750" s="71" t="n"/>
    </row>
    <row r="1752">
      <c r="A1752" s="71" t="n"/>
    </row>
    <row r="1754">
      <c r="A1754" s="71" t="n"/>
    </row>
    <row r="1756">
      <c r="A1756" s="71" t="n"/>
    </row>
    <row r="1758">
      <c r="A1758" s="71" t="n"/>
    </row>
    <row r="1760">
      <c r="A1760" s="71" t="n"/>
    </row>
    <row r="1762">
      <c r="A1762" s="71" t="n"/>
    </row>
    <row r="1764">
      <c r="A1764" s="71" t="n"/>
    </row>
    <row r="1766">
      <c r="A1766" s="71" t="n"/>
    </row>
    <row r="1768">
      <c r="A1768" s="71" t="n"/>
    </row>
    <row r="1769">
      <c r="A1769" s="71" t="n"/>
    </row>
    <row r="1770">
      <c r="A1770" s="72" t="n"/>
      <c r="B1770" s="73" t="n"/>
      <c r="C1770" s="88" t="n"/>
    </row>
    <row r="1771">
      <c r="A1771" s="72" t="n"/>
    </row>
    <row r="1772">
      <c r="A1772" s="71" t="n"/>
    </row>
    <row r="1774">
      <c r="A1774" s="71" t="n"/>
    </row>
    <row r="1776">
      <c r="A1776" s="71" t="n"/>
    </row>
    <row r="1778">
      <c r="A1778" s="71" t="n"/>
    </row>
    <row r="1780">
      <c r="A1780" s="71" t="n"/>
    </row>
    <row r="1781">
      <c r="A1781" s="71" t="n"/>
    </row>
    <row r="1782">
      <c r="A1782" s="72" t="n"/>
      <c r="B1782" s="73" t="n"/>
      <c r="C1782" s="88" t="n"/>
      <c r="D1782" s="78" t="n"/>
    </row>
    <row r="1783">
      <c r="A1783" s="72" t="n"/>
    </row>
    <row r="1784">
      <c r="A1784" s="72" t="n"/>
    </row>
    <row r="1785">
      <c r="A1785" s="72" t="n"/>
    </row>
    <row r="1786">
      <c r="A1786" s="72" t="n"/>
    </row>
    <row r="1787">
      <c r="A1787" s="72" t="n"/>
    </row>
    <row r="1788">
      <c r="A1788" s="72" t="n"/>
      <c r="B1788" s="73" t="n"/>
      <c r="C1788" s="88" t="n"/>
      <c r="D1788" s="78" t="n"/>
    </row>
    <row r="1789">
      <c r="A1789" s="72" t="n"/>
    </row>
    <row r="1790">
      <c r="A1790" s="72" t="n"/>
    </row>
    <row r="1791">
      <c r="A1791" s="72" t="n"/>
    </row>
    <row r="1792">
      <c r="A1792" s="72" t="n"/>
    </row>
    <row r="1793">
      <c r="A1793" s="72" t="n"/>
    </row>
    <row r="1794">
      <c r="A1794" s="72" t="n"/>
    </row>
    <row r="1795">
      <c r="A1795" s="72" t="n"/>
    </row>
    <row r="1796">
      <c r="A1796" s="71" t="n"/>
    </row>
    <row r="1798">
      <c r="A1798" s="71" t="n"/>
    </row>
    <row r="1800">
      <c r="A1800" s="71" t="n"/>
    </row>
    <row r="1802">
      <c r="A1802" s="71" t="n"/>
    </row>
    <row r="1804">
      <c r="A1804" s="71" t="n"/>
    </row>
    <row r="1806">
      <c r="A1806" s="71" t="n"/>
    </row>
    <row r="1808">
      <c r="A1808" s="71" t="n"/>
    </row>
    <row r="1810">
      <c r="A1810" s="71" t="n"/>
    </row>
    <row r="1812">
      <c r="A1812" s="71" t="n"/>
    </row>
    <row r="1814">
      <c r="A1814" s="71" t="n"/>
    </row>
    <row r="1816">
      <c r="A1816" s="71" t="n"/>
    </row>
    <row r="1818">
      <c r="A1818" s="71" t="n"/>
    </row>
    <row r="1819">
      <c r="A1819" s="71" t="n"/>
    </row>
    <row r="1820">
      <c r="A1820" s="72" t="n"/>
      <c r="B1820" s="73" t="n"/>
      <c r="C1820" s="88" t="n"/>
    </row>
    <row r="1821">
      <c r="A1821" s="72" t="n"/>
    </row>
    <row r="1822">
      <c r="A1822" s="71" t="n"/>
    </row>
    <row r="1824">
      <c r="A1824" s="71" t="n"/>
    </row>
    <row r="1826">
      <c r="A1826" s="71" t="n"/>
    </row>
    <row r="1828">
      <c r="A1828" s="71" t="n"/>
    </row>
    <row r="1830">
      <c r="A1830" s="71" t="n"/>
    </row>
    <row r="1832">
      <c r="A1832" s="71" t="n"/>
    </row>
    <row r="1834">
      <c r="A1834" s="71" t="n"/>
    </row>
    <row r="1836">
      <c r="A1836" s="71" t="n"/>
    </row>
    <row r="1838">
      <c r="A1838" s="71" t="n"/>
    </row>
    <row r="1840">
      <c r="A1840" s="71" t="n"/>
    </row>
    <row r="1842">
      <c r="A1842" s="71" t="n"/>
    </row>
    <row r="1844">
      <c r="A1844" s="71" t="n"/>
    </row>
    <row r="1846">
      <c r="A1846" s="71" t="n"/>
    </row>
    <row r="1848">
      <c r="A1848" s="71" t="n"/>
    </row>
    <row r="1850">
      <c r="A1850" s="71" t="n"/>
    </row>
    <row r="1852">
      <c r="A1852" s="71" t="n"/>
    </row>
    <row r="1854">
      <c r="A1854" s="71" t="n"/>
    </row>
    <row r="1856">
      <c r="A1856" s="71" t="n"/>
    </row>
    <row r="1858">
      <c r="A1858" s="71" t="n"/>
    </row>
    <row r="1860">
      <c r="A1860" s="71" t="n"/>
    </row>
    <row r="1862">
      <c r="A1862" s="71" t="n"/>
    </row>
    <row r="1863">
      <c r="A1863" s="71" t="n"/>
    </row>
    <row r="1864">
      <c r="A1864" s="72" t="n"/>
      <c r="B1864" s="73" t="n"/>
      <c r="C1864" s="88" t="n"/>
    </row>
    <row r="1865">
      <c r="A1865" s="72" t="n"/>
    </row>
    <row r="1866">
      <c r="A1866" s="72" t="n"/>
    </row>
    <row r="1867">
      <c r="A1867" s="71" t="n"/>
    </row>
    <row r="1869">
      <c r="A1869" s="71" t="n"/>
    </row>
    <row r="1871">
      <c r="A1871" s="71" t="n"/>
    </row>
    <row r="1873">
      <c r="A1873" s="71" t="n"/>
    </row>
    <row r="1875">
      <c r="A1875" s="71" t="n"/>
    </row>
    <row r="1877">
      <c r="A1877" s="71" t="n"/>
    </row>
    <row r="1878">
      <c r="A1878" s="71" t="n"/>
    </row>
    <row r="1879">
      <c r="A1879" s="72" t="n"/>
      <c r="B1879" s="73" t="n"/>
      <c r="C1879" s="88" t="n"/>
    </row>
    <row r="1880">
      <c r="A1880" s="71" t="n"/>
    </row>
    <row r="1882">
      <c r="A1882" s="71" t="n"/>
    </row>
    <row r="1884">
      <c r="A1884" s="71" t="n"/>
    </row>
    <row r="1886">
      <c r="A1886" s="71" t="n"/>
    </row>
    <row r="1888">
      <c r="A1888" s="71" t="n"/>
    </row>
    <row r="1890">
      <c r="A1890" s="71" t="n"/>
    </row>
    <row r="1892">
      <c r="A1892" s="71" t="n"/>
    </row>
    <row r="1894">
      <c r="A1894" s="71" t="n"/>
    </row>
    <row r="1896">
      <c r="A1896" s="71" t="n"/>
    </row>
    <row r="1898">
      <c r="A1898" s="71" t="n"/>
    </row>
    <row r="1900">
      <c r="A1900" s="71" t="n"/>
    </row>
    <row r="1902">
      <c r="A1902" s="71" t="n"/>
    </row>
    <row r="1904">
      <c r="A1904" s="71" t="n"/>
    </row>
    <row r="1906">
      <c r="A1906" s="71" t="n"/>
    </row>
    <row r="1908">
      <c r="A1908" s="71" t="n"/>
    </row>
    <row r="1910">
      <c r="A1910" s="71" t="n"/>
    </row>
    <row r="1912">
      <c r="A1912" s="71" t="n"/>
    </row>
    <row r="1914">
      <c r="A1914" s="71" t="n"/>
    </row>
    <row r="1916">
      <c r="A1916" s="71" t="n"/>
    </row>
    <row r="1918">
      <c r="A1918" s="71" t="n"/>
    </row>
    <row r="1920">
      <c r="A1920" s="71" t="n"/>
    </row>
    <row r="1922">
      <c r="A1922" s="71" t="n"/>
    </row>
    <row r="1924">
      <c r="A1924" s="71" t="n"/>
    </row>
    <row r="1926">
      <c r="A1926" s="71" t="n"/>
    </row>
    <row r="1928">
      <c r="A1928" s="71" t="n"/>
    </row>
    <row r="1930">
      <c r="A1930" s="71" t="n"/>
    </row>
    <row r="1932">
      <c r="A1932" s="71" t="n"/>
    </row>
    <row r="1934">
      <c r="A1934" s="71" t="n"/>
    </row>
    <row r="1936">
      <c r="A1936" s="71" t="n"/>
    </row>
    <row r="1937">
      <c r="A1937" s="71" t="n"/>
    </row>
    <row r="1938">
      <c r="A1938" s="72" t="n"/>
      <c r="B1938" s="73" t="n"/>
      <c r="C1938" s="88" t="n"/>
    </row>
    <row r="1939">
      <c r="A1939" s="71" t="n"/>
    </row>
    <row r="1941">
      <c r="A1941" s="71" t="n"/>
    </row>
    <row r="1943">
      <c r="A1943" s="71" t="n"/>
    </row>
    <row r="1945">
      <c r="A1945" s="71" t="n"/>
    </row>
    <row r="1947">
      <c r="A1947" s="71" t="n"/>
    </row>
    <row r="1949">
      <c r="A1949" s="71" t="n"/>
    </row>
    <row r="1951">
      <c r="A1951" s="71" t="n"/>
    </row>
    <row r="1953">
      <c r="A1953" s="71" t="n"/>
    </row>
    <row r="1955">
      <c r="A1955" s="71" t="n"/>
    </row>
    <row r="1957">
      <c r="A1957" s="71" t="n"/>
    </row>
    <row r="1959">
      <c r="A1959" s="71" t="n"/>
    </row>
    <row r="1961">
      <c r="A1961" s="71" t="n"/>
    </row>
    <row r="1963">
      <c r="A1963" s="71" t="n"/>
    </row>
    <row r="1965">
      <c r="A1965" s="71" t="n"/>
    </row>
    <row r="1967">
      <c r="A1967" s="71" t="n"/>
    </row>
    <row r="1969">
      <c r="A1969" s="71" t="n"/>
    </row>
    <row r="1971">
      <c r="A1971" s="71" t="n"/>
    </row>
    <row r="1973">
      <c r="A1973" s="71" t="n"/>
    </row>
    <row r="1975">
      <c r="A1975" s="71" t="n"/>
    </row>
    <row r="1977">
      <c r="A1977" s="71" t="n"/>
    </row>
    <row r="1979">
      <c r="A1979" s="71" t="n"/>
    </row>
    <row r="1981">
      <c r="A1981" s="71" t="n"/>
    </row>
    <row r="1983">
      <c r="A1983" s="71" t="n"/>
    </row>
    <row r="1985">
      <c r="A1985" s="71" t="n"/>
    </row>
    <row r="1987">
      <c r="A1987" s="71" t="n"/>
    </row>
    <row r="1989">
      <c r="A1989" s="71" t="n"/>
    </row>
    <row r="1991">
      <c r="A1991" s="71" t="n"/>
    </row>
    <row r="1993">
      <c r="A1993" s="71" t="n"/>
    </row>
    <row r="1995">
      <c r="A1995" s="71" t="n"/>
    </row>
    <row r="1997">
      <c r="A1997" s="71" t="n"/>
    </row>
    <row r="1999">
      <c r="A1999" s="71" t="n"/>
    </row>
    <row r="2001">
      <c r="A2001" s="71" t="n"/>
    </row>
    <row r="2003">
      <c r="A2003" s="71" t="n"/>
    </row>
    <row r="2005">
      <c r="A2005" s="71" t="n"/>
    </row>
    <row r="2007">
      <c r="A2007" s="71" t="n"/>
    </row>
    <row r="2009">
      <c r="A2009" s="71" t="n"/>
    </row>
    <row r="2011">
      <c r="A2011" s="71" t="n"/>
    </row>
    <row r="2013">
      <c r="A2013" s="71" t="n"/>
    </row>
    <row r="2015">
      <c r="A2015" s="71" t="n"/>
    </row>
    <row r="2017">
      <c r="A2017" s="71" t="n"/>
    </row>
    <row r="2019">
      <c r="A2019" s="71" t="n"/>
    </row>
    <row r="2021">
      <c r="A2021" s="71" t="n"/>
    </row>
    <row r="2023">
      <c r="A2023" s="71" t="n"/>
    </row>
    <row r="2025">
      <c r="A2025" s="71" t="n"/>
    </row>
    <row r="2027">
      <c r="A2027" s="71" t="n"/>
    </row>
    <row r="2029">
      <c r="A2029" s="71" t="n"/>
    </row>
    <row r="2031">
      <c r="A2031" s="71" t="n"/>
    </row>
    <row r="2033">
      <c r="A2033" s="71" t="n"/>
    </row>
    <row r="2035">
      <c r="A2035" s="71" t="n"/>
    </row>
    <row r="2037">
      <c r="A2037" s="71" t="n"/>
    </row>
    <row r="2039">
      <c r="A2039" s="71" t="n"/>
    </row>
    <row r="2041">
      <c r="A2041" s="71" t="n"/>
    </row>
    <row r="2043">
      <c r="A2043" s="71" t="n"/>
    </row>
    <row r="2045">
      <c r="A2045" s="71" t="n"/>
    </row>
    <row r="2047">
      <c r="A2047" s="71" t="n"/>
    </row>
    <row r="2049">
      <c r="A2049" s="71" t="n"/>
    </row>
    <row r="2051">
      <c r="A2051" s="71" t="n"/>
    </row>
    <row r="2053">
      <c r="A2053" s="71" t="n"/>
    </row>
    <row r="2055">
      <c r="A2055" s="71" t="n"/>
    </row>
    <row r="2057">
      <c r="A2057" s="71" t="n"/>
    </row>
    <row r="2059">
      <c r="A2059" s="71" t="n"/>
    </row>
    <row r="2061">
      <c r="A2061" s="71" t="n"/>
    </row>
    <row r="2063">
      <c r="A2063" s="71" t="n"/>
    </row>
    <row r="2065">
      <c r="A2065" s="71" t="n"/>
    </row>
    <row r="2067">
      <c r="A2067" s="71" t="n"/>
    </row>
    <row r="2069">
      <c r="A2069" s="71" t="n"/>
    </row>
    <row r="2071">
      <c r="A2071" s="71" t="n"/>
    </row>
    <row r="2073">
      <c r="A2073" s="71" t="n"/>
    </row>
    <row r="2075">
      <c r="A2075" s="71" t="n"/>
    </row>
    <row r="2077">
      <c r="A2077" s="71" t="n"/>
    </row>
    <row r="2079">
      <c r="A2079" s="71" t="n"/>
    </row>
    <row r="2081">
      <c r="A2081" s="71" t="n"/>
    </row>
    <row r="2083">
      <c r="A2083" s="71" t="n"/>
    </row>
    <row r="2085">
      <c r="A2085" s="71" t="n"/>
    </row>
    <row r="2087">
      <c r="A2087" s="71" t="n"/>
    </row>
    <row r="2089">
      <c r="A2089" s="71" t="n"/>
    </row>
    <row r="2091">
      <c r="A2091" s="71" t="n"/>
    </row>
    <row r="2093">
      <c r="A2093" s="71" t="n"/>
    </row>
    <row r="2095">
      <c r="A2095" s="71" t="n"/>
    </row>
    <row r="2097">
      <c r="A2097" s="71" t="n"/>
    </row>
    <row r="2099">
      <c r="A2099" s="71" t="n"/>
    </row>
    <row r="2101">
      <c r="A2101" s="71" t="n"/>
    </row>
    <row r="2103">
      <c r="A2103" s="71" t="n"/>
    </row>
    <row r="2105">
      <c r="A2105" s="71" t="n"/>
    </row>
    <row r="2107">
      <c r="A2107" s="71" t="n"/>
    </row>
    <row r="2109">
      <c r="A2109" s="71" t="n"/>
    </row>
    <row r="2111">
      <c r="A2111" s="71" t="n"/>
    </row>
    <row r="2113">
      <c r="A2113" s="71" t="n"/>
    </row>
    <row r="2115">
      <c r="A2115" s="71" t="n"/>
    </row>
    <row r="2117">
      <c r="A2117" s="71" t="n"/>
    </row>
    <row r="2119">
      <c r="A2119" s="71" t="n"/>
    </row>
    <row r="2121">
      <c r="A2121" s="71" t="n"/>
    </row>
    <row r="2123">
      <c r="A2123" s="71" t="n"/>
    </row>
    <row r="2125">
      <c r="A2125" s="71" t="n"/>
    </row>
    <row r="2127">
      <c r="A2127" s="71" t="n"/>
    </row>
    <row r="2129">
      <c r="A2129" s="71" t="n"/>
    </row>
    <row r="2131">
      <c r="A2131" s="71" t="n"/>
    </row>
    <row r="2133">
      <c r="A2133" s="71" t="n"/>
    </row>
    <row r="2135">
      <c r="A2135" s="71" t="n"/>
    </row>
    <row r="2137">
      <c r="A2137" s="71" t="n"/>
    </row>
    <row r="2139">
      <c r="A2139" s="71" t="n"/>
    </row>
    <row r="2141">
      <c r="A2141" s="71" t="n"/>
    </row>
    <row r="2143">
      <c r="A2143" s="71" t="n"/>
    </row>
    <row r="2145">
      <c r="A2145" s="71" t="n"/>
    </row>
    <row r="2147">
      <c r="A2147" s="71" t="n"/>
    </row>
    <row r="2149">
      <c r="A2149" s="71" t="n"/>
    </row>
    <row r="2151">
      <c r="A2151" s="71" t="n"/>
    </row>
    <row r="2153">
      <c r="A2153" s="71" t="n"/>
    </row>
    <row r="2155">
      <c r="A2155" s="71" t="n"/>
    </row>
    <row r="2157">
      <c r="A2157" s="71" t="n"/>
    </row>
    <row r="2159">
      <c r="A2159" s="71" t="n"/>
    </row>
    <row r="2161">
      <c r="A2161" s="71" t="n"/>
    </row>
    <row r="2163">
      <c r="A2163" s="71" t="n"/>
    </row>
    <row r="2165">
      <c r="A2165" s="71" t="n"/>
    </row>
    <row r="2167">
      <c r="A2167" s="71" t="n"/>
    </row>
    <row r="2169">
      <c r="A2169" s="71" t="n"/>
    </row>
    <row r="2171">
      <c r="A2171" s="71" t="n"/>
    </row>
    <row r="2173">
      <c r="A2173" s="71" t="n"/>
    </row>
    <row r="2175">
      <c r="A2175" s="71" t="n"/>
    </row>
    <row r="2177">
      <c r="A2177" s="71" t="n"/>
    </row>
    <row r="2179">
      <c r="A2179" s="71" t="n"/>
    </row>
    <row r="2181">
      <c r="A2181" s="71" t="n"/>
    </row>
    <row r="2183">
      <c r="A2183" s="71" t="n"/>
    </row>
    <row r="2185">
      <c r="A2185" s="71" t="n"/>
    </row>
    <row r="2187">
      <c r="A2187" s="71" t="n"/>
    </row>
    <row r="2189">
      <c r="A2189" s="71" t="n"/>
    </row>
    <row r="2191">
      <c r="A2191" s="71" t="n"/>
    </row>
    <row r="2193">
      <c r="A2193" s="71" t="n"/>
    </row>
    <row r="2194">
      <c r="A2194" s="71" t="n"/>
    </row>
    <row r="2195">
      <c r="A2195" s="72" t="n"/>
      <c r="B2195" s="73" t="n"/>
      <c r="C2195" s="88" t="n"/>
    </row>
    <row r="2196">
      <c r="A2196" s="72" t="n"/>
    </row>
    <row r="2197">
      <c r="A2197" s="71" t="n"/>
    </row>
    <row r="2199">
      <c r="A2199" s="71" t="n"/>
    </row>
    <row r="2201">
      <c r="A2201" s="71" t="n"/>
    </row>
    <row r="2203">
      <c r="A2203" s="71" t="n"/>
    </row>
    <row r="2205">
      <c r="A2205" s="71" t="n"/>
    </row>
    <row r="2207">
      <c r="A2207" s="71" t="n"/>
    </row>
    <row r="2209">
      <c r="A2209" s="71" t="n"/>
    </row>
    <row r="2211">
      <c r="A2211" s="71" t="n"/>
    </row>
    <row r="2213">
      <c r="A2213" s="71" t="n"/>
    </row>
    <row r="2215">
      <c r="A2215" s="71" t="n"/>
    </row>
    <row r="2217">
      <c r="A2217" s="71" t="n"/>
    </row>
    <row r="2219">
      <c r="A2219" s="71" t="n"/>
    </row>
    <row r="2221">
      <c r="A2221" s="71" t="n"/>
    </row>
    <row r="2223">
      <c r="A2223" s="71" t="n"/>
    </row>
    <row r="2225">
      <c r="A2225" s="71" t="n"/>
    </row>
    <row r="2227">
      <c r="A2227" s="71" t="n"/>
    </row>
    <row r="2229">
      <c r="A2229" s="71" t="n"/>
    </row>
    <row r="2231">
      <c r="A2231" s="71" t="n"/>
    </row>
    <row r="2233">
      <c r="A2233" s="71" t="n"/>
    </row>
    <row r="2235">
      <c r="A2235" s="71" t="n"/>
    </row>
    <row r="2237">
      <c r="A2237" s="71" t="n"/>
    </row>
    <row r="2239">
      <c r="A2239" s="71" t="n"/>
    </row>
    <row r="2241">
      <c r="A2241" s="71" t="n"/>
    </row>
    <row r="2243">
      <c r="A2243" s="71" t="n"/>
    </row>
    <row r="2245">
      <c r="A2245" s="71" t="n"/>
    </row>
    <row r="2247">
      <c r="A2247" s="71" t="n"/>
    </row>
    <row r="2249">
      <c r="A2249" s="71" t="n"/>
    </row>
    <row r="2251">
      <c r="A2251" s="71" t="n"/>
    </row>
    <row r="2253">
      <c r="A2253" s="71" t="n"/>
    </row>
    <row r="2255">
      <c r="A2255" s="71" t="n"/>
    </row>
    <row r="2257">
      <c r="A2257" s="71" t="n"/>
    </row>
    <row r="2259">
      <c r="A2259" s="71" t="n"/>
    </row>
    <row r="2261">
      <c r="A2261" s="71" t="n"/>
    </row>
    <row r="2263">
      <c r="A2263" s="71" t="n"/>
    </row>
    <row r="2265">
      <c r="A2265" s="71" t="n"/>
    </row>
    <row r="2267">
      <c r="A2267" s="71" t="n"/>
    </row>
    <row r="2269">
      <c r="A2269" s="71" t="n"/>
    </row>
    <row r="2271">
      <c r="A2271" s="71" t="n"/>
    </row>
    <row r="2273">
      <c r="A2273" s="71" t="n"/>
    </row>
    <row r="2275">
      <c r="A2275" s="71" t="n"/>
    </row>
    <row r="2277">
      <c r="A2277" s="71" t="n"/>
    </row>
    <row r="2278">
      <c r="A2278" s="71" t="n"/>
    </row>
    <row r="2279">
      <c r="A2279" s="72" t="n"/>
      <c r="B2279" s="73" t="n"/>
      <c r="C2279" s="88" t="n"/>
    </row>
    <row r="2280">
      <c r="A2280" s="71" t="n"/>
    </row>
    <row r="2282">
      <c r="A2282" s="71" t="n"/>
    </row>
    <row r="2284">
      <c r="A2284" s="71" t="n"/>
    </row>
    <row r="2286">
      <c r="A2286" s="71" t="n"/>
    </row>
    <row r="2288">
      <c r="A2288" s="71" t="n"/>
    </row>
    <row r="2290">
      <c r="A2290" s="71" t="n"/>
    </row>
    <row r="2292">
      <c r="A2292" s="71" t="n"/>
    </row>
    <row r="2294">
      <c r="A2294" s="71" t="n"/>
    </row>
    <row r="2296">
      <c r="A2296" s="71" t="n"/>
    </row>
    <row r="2298">
      <c r="A2298" s="71" t="n"/>
    </row>
    <row r="2300">
      <c r="A2300" s="71" t="n"/>
    </row>
    <row r="2302">
      <c r="A2302" s="71" t="n"/>
    </row>
    <row r="2304">
      <c r="A2304" s="71" t="n"/>
    </row>
    <row r="2306">
      <c r="A2306" s="71" t="n"/>
    </row>
    <row r="2308">
      <c r="A2308" s="71" t="n"/>
    </row>
    <row r="2310">
      <c r="A2310" s="71" t="n"/>
    </row>
    <row r="2312">
      <c r="A2312" s="71" t="n"/>
    </row>
    <row r="2314">
      <c r="A2314" s="71" t="n"/>
    </row>
    <row r="2316">
      <c r="A2316" s="71" t="n"/>
    </row>
    <row r="2318">
      <c r="A2318" s="71" t="n"/>
    </row>
    <row r="2320">
      <c r="A2320" s="71" t="n"/>
    </row>
    <row r="2322">
      <c r="A2322" s="71" t="n"/>
    </row>
    <row r="2324">
      <c r="A2324" s="71" t="n"/>
    </row>
    <row r="2326">
      <c r="A2326" s="71" t="n"/>
    </row>
    <row r="2328">
      <c r="A2328" s="71" t="n"/>
    </row>
    <row r="2330">
      <c r="A2330" s="71" t="n"/>
    </row>
    <row r="2332">
      <c r="A2332" s="71" t="n"/>
    </row>
    <row r="2334">
      <c r="A2334" s="71" t="n"/>
    </row>
    <row r="2336">
      <c r="A2336" s="71" t="n"/>
    </row>
    <row r="2338">
      <c r="A2338" s="71" t="n"/>
    </row>
    <row r="2340">
      <c r="A2340" s="71" t="n"/>
    </row>
    <row r="2341">
      <c r="A2341" s="71" t="n"/>
    </row>
    <row r="2342">
      <c r="A2342" s="72" t="n"/>
      <c r="B2342" s="73" t="n"/>
      <c r="C2342" s="88" t="n"/>
    </row>
    <row r="2343">
      <c r="A2343" s="71" t="n"/>
    </row>
    <row r="2345">
      <c r="A2345" s="71" t="n"/>
    </row>
    <row r="2347">
      <c r="A2347" s="71" t="n"/>
    </row>
    <row r="2349">
      <c r="A2349" s="71" t="n"/>
    </row>
    <row r="2351">
      <c r="A2351" s="71" t="n"/>
    </row>
    <row r="2353">
      <c r="A2353" s="71" t="n"/>
    </row>
    <row r="2355">
      <c r="A2355" s="71" t="n"/>
    </row>
    <row r="2356">
      <c r="A2356" s="71" t="n"/>
    </row>
    <row r="2357">
      <c r="A2357" s="72" t="n"/>
      <c r="B2357" s="73" t="n"/>
      <c r="C2357" s="88" t="n"/>
    </row>
    <row r="2358">
      <c r="A2358" s="72" t="n"/>
    </row>
    <row r="2359">
      <c r="A2359" s="71" t="n"/>
    </row>
    <row r="2361">
      <c r="A2361" s="71" t="n"/>
    </row>
    <row r="2363">
      <c r="A2363" s="71" t="n"/>
    </row>
    <row r="2365">
      <c r="A2365" s="71" t="n"/>
    </row>
    <row r="2367">
      <c r="A2367" s="71" t="n"/>
    </row>
    <row r="2369">
      <c r="A2369" s="71" t="n"/>
    </row>
    <row r="2371">
      <c r="A2371" s="71" t="n"/>
    </row>
    <row r="2373">
      <c r="A2373" s="71" t="n"/>
    </row>
    <row r="2375">
      <c r="A2375" s="71" t="n"/>
    </row>
    <row r="2377">
      <c r="A2377" s="71" t="n"/>
    </row>
    <row r="2379">
      <c r="A2379" s="71" t="n"/>
    </row>
    <row r="2381">
      <c r="A2381" s="71" t="n"/>
    </row>
    <row r="2383">
      <c r="A2383" s="71" t="n"/>
    </row>
    <row r="2385">
      <c r="A2385" s="71" t="n"/>
    </row>
    <row r="2387">
      <c r="A2387" s="71" t="n"/>
    </row>
    <row r="2389">
      <c r="A2389" s="71" t="n"/>
    </row>
    <row r="2391">
      <c r="A2391" s="71" t="n"/>
    </row>
    <row r="2393">
      <c r="A2393" s="71" t="n"/>
    </row>
    <row r="2395">
      <c r="A2395" s="71" t="n"/>
    </row>
    <row r="2397">
      <c r="A2397" s="71" t="n"/>
    </row>
    <row r="2399">
      <c r="A2399" s="71" t="n"/>
    </row>
    <row r="2401">
      <c r="A2401" s="71" t="n"/>
    </row>
    <row r="2403">
      <c r="A2403" s="71" t="n"/>
    </row>
    <row r="2405">
      <c r="A2405" s="71" t="n"/>
    </row>
    <row r="2407">
      <c r="A2407" s="71" t="n"/>
    </row>
    <row r="2409">
      <c r="A2409" s="71" t="n"/>
    </row>
    <row r="2411">
      <c r="A2411" s="71" t="n"/>
    </row>
    <row r="2413">
      <c r="A2413" s="71" t="n"/>
    </row>
    <row r="2415">
      <c r="A2415" s="71" t="n"/>
    </row>
    <row r="2416">
      <c r="A2416" s="71" t="n"/>
    </row>
    <row r="2417">
      <c r="A2417" s="72" t="n"/>
      <c r="B2417" s="73" t="n"/>
      <c r="C2417" s="88" t="n"/>
    </row>
    <row r="2418">
      <c r="A2418" s="72" t="n"/>
    </row>
    <row r="2419">
      <c r="A2419" s="71" t="n"/>
    </row>
    <row r="2421">
      <c r="A2421" s="71" t="n"/>
    </row>
    <row r="2423">
      <c r="A2423" s="71" t="n"/>
    </row>
    <row r="2425">
      <c r="A2425" s="71" t="n"/>
    </row>
    <row r="2427">
      <c r="A2427" s="71" t="n"/>
    </row>
    <row r="2429">
      <c r="A2429" s="71" t="n"/>
    </row>
    <row r="2431">
      <c r="A2431" s="71" t="n"/>
    </row>
    <row r="2433">
      <c r="A2433" s="71" t="n"/>
    </row>
    <row r="2435">
      <c r="A2435" s="71" t="n"/>
    </row>
    <row r="2437">
      <c r="A2437" s="71" t="n"/>
    </row>
    <row r="2439">
      <c r="A2439" s="71" t="n"/>
    </row>
    <row r="2441">
      <c r="A2441" s="71" t="n"/>
    </row>
    <row r="2443">
      <c r="A2443" s="71" t="n"/>
    </row>
    <row r="2445">
      <c r="A2445" s="71" t="n"/>
    </row>
    <row r="2447">
      <c r="A2447" s="71" t="n"/>
    </row>
    <row r="2449">
      <c r="A2449" s="71" t="n"/>
    </row>
    <row r="2451">
      <c r="A2451" s="71" t="n"/>
    </row>
    <row r="2453">
      <c r="A2453" s="71" t="n"/>
    </row>
    <row r="2455">
      <c r="A2455" s="71" t="n"/>
    </row>
    <row r="2457">
      <c r="A2457" s="71" t="n"/>
    </row>
    <row r="2459">
      <c r="A2459" s="71" t="n"/>
    </row>
    <row r="2461">
      <c r="A2461" s="71" t="n"/>
    </row>
    <row r="2463">
      <c r="A2463" s="71" t="n"/>
    </row>
    <row r="2465">
      <c r="A2465" s="71" t="n"/>
    </row>
    <row r="2467">
      <c r="A2467" s="71" t="n"/>
    </row>
    <row r="2469">
      <c r="A2469" s="71" t="n"/>
    </row>
    <row r="2471">
      <c r="A2471" s="71" t="n"/>
    </row>
    <row r="2473">
      <c r="A2473" s="71" t="n"/>
    </row>
    <row r="2475">
      <c r="A2475" s="71" t="n"/>
    </row>
    <row r="2477">
      <c r="A2477" s="71" t="n"/>
    </row>
    <row r="2479">
      <c r="A2479" s="71" t="n"/>
    </row>
    <row r="2481">
      <c r="A2481" s="71" t="n"/>
    </row>
    <row r="2483">
      <c r="A2483" s="71" t="n"/>
    </row>
    <row r="2485">
      <c r="A2485" s="71" t="n"/>
    </row>
    <row r="2487">
      <c r="A2487" s="71" t="n"/>
    </row>
    <row r="2489">
      <c r="A2489" s="71" t="n"/>
    </row>
    <row r="2491">
      <c r="A2491" s="71" t="n"/>
    </row>
    <row r="2493">
      <c r="A2493" s="71" t="n"/>
    </row>
    <row r="2495">
      <c r="A2495" s="71" t="n"/>
    </row>
    <row r="2497">
      <c r="A2497" s="71" t="n"/>
    </row>
    <row r="2499">
      <c r="A2499" s="71" t="n"/>
    </row>
    <row r="2501">
      <c r="A2501" s="71" t="n"/>
    </row>
    <row r="2503">
      <c r="A2503" s="71" t="n"/>
    </row>
    <row r="2505">
      <c r="A2505" s="71" t="n"/>
    </row>
    <row r="2507">
      <c r="A2507" s="71" t="n"/>
    </row>
    <row r="2509">
      <c r="A2509" s="71" t="n"/>
    </row>
    <row r="2511">
      <c r="A2511" s="71" t="n"/>
    </row>
    <row r="2513">
      <c r="A2513" s="71" t="n"/>
    </row>
    <row r="2515">
      <c r="A2515" s="71" t="n"/>
    </row>
    <row r="2517">
      <c r="A2517" s="71" t="n"/>
    </row>
    <row r="2519">
      <c r="A2519" s="71" t="n"/>
    </row>
    <row r="2521">
      <c r="A2521" s="71" t="n"/>
    </row>
    <row r="2523">
      <c r="A2523" s="71" t="n"/>
    </row>
    <row r="2525">
      <c r="A2525" s="71" t="n"/>
    </row>
    <row r="2527">
      <c r="A2527" s="71" t="n"/>
    </row>
    <row r="2529">
      <c r="A2529" s="71" t="n"/>
    </row>
    <row r="2531">
      <c r="A2531" s="71" t="n"/>
    </row>
    <row r="2533">
      <c r="A2533" s="71" t="n"/>
    </row>
    <row r="2535">
      <c r="A2535" s="71" t="n"/>
    </row>
    <row r="2537">
      <c r="A2537" s="71" t="n"/>
    </row>
    <row r="2539">
      <c r="A2539" s="71" t="n"/>
    </row>
    <row r="2541">
      <c r="A2541" s="71" t="n"/>
    </row>
    <row r="2543">
      <c r="A2543" s="71" t="n"/>
    </row>
    <row r="2545">
      <c r="A2545" s="71" t="n"/>
    </row>
    <row r="2546">
      <c r="A2546" s="71" t="n"/>
    </row>
    <row r="2547">
      <c r="A2547" s="72" t="n"/>
      <c r="B2547" s="73" t="n"/>
      <c r="C2547" s="88" t="n"/>
    </row>
    <row r="2548">
      <c r="A2548" s="71" t="n"/>
    </row>
    <row r="2550">
      <c r="A2550" s="71" t="n"/>
    </row>
    <row r="2552">
      <c r="A2552" s="71" t="n"/>
    </row>
    <row r="2554">
      <c r="A2554" s="71" t="n"/>
    </row>
    <row r="2556">
      <c r="A2556" s="71" t="n"/>
    </row>
    <row r="2558">
      <c r="A2558" s="71" t="n"/>
    </row>
    <row r="2560">
      <c r="A2560" s="71" t="n"/>
    </row>
    <row r="2562">
      <c r="A2562" s="71" t="n"/>
    </row>
    <row r="2564">
      <c r="A2564" s="71" t="n"/>
    </row>
    <row r="2566">
      <c r="A2566" s="71" t="n"/>
    </row>
    <row r="2568">
      <c r="A2568" s="71" t="n"/>
    </row>
    <row r="2570">
      <c r="A2570" s="71" t="n"/>
    </row>
    <row r="2572">
      <c r="A2572" s="71" t="n"/>
    </row>
    <row r="2574">
      <c r="A2574" s="71" t="n"/>
    </row>
    <row r="2576">
      <c r="A2576" s="71" t="n"/>
    </row>
    <row r="2578">
      <c r="A2578" s="71" t="n"/>
    </row>
    <row r="2580">
      <c r="A2580" s="71" t="n"/>
    </row>
    <row r="2582">
      <c r="A2582" s="71" t="n"/>
    </row>
    <row r="2584">
      <c r="A2584" s="71" t="n"/>
    </row>
    <row r="2586">
      <c r="A2586" s="71" t="n"/>
    </row>
    <row r="2588">
      <c r="A2588" s="71" t="n"/>
    </row>
    <row r="2590">
      <c r="A2590" s="71" t="n"/>
    </row>
    <row r="2592">
      <c r="A2592" s="71" t="n"/>
    </row>
    <row r="2594">
      <c r="A2594" s="71" t="n"/>
    </row>
    <row r="2596">
      <c r="A2596" s="71" t="n"/>
    </row>
    <row r="2598">
      <c r="A2598" s="71" t="n"/>
    </row>
    <row r="2600">
      <c r="A2600" s="71" t="n"/>
    </row>
    <row r="2602">
      <c r="A2602" s="71" t="n"/>
    </row>
    <row r="2604">
      <c r="A2604" s="71" t="n"/>
    </row>
    <row r="2606">
      <c r="A2606" s="71" t="n"/>
    </row>
    <row r="2608">
      <c r="A2608" s="71" t="n"/>
    </row>
    <row r="2610">
      <c r="A2610" s="71" t="n"/>
    </row>
    <row r="2612">
      <c r="A2612" s="71" t="n"/>
    </row>
    <row r="2614">
      <c r="A2614" s="71" t="n"/>
    </row>
    <row r="2616">
      <c r="A2616" s="71" t="n"/>
    </row>
    <row r="2618">
      <c r="A2618" s="71" t="n"/>
    </row>
    <row r="2620">
      <c r="A2620" s="71" t="n"/>
    </row>
    <row r="2622">
      <c r="A2622" s="71" t="n"/>
    </row>
    <row r="2624">
      <c r="A2624" s="71" t="n"/>
    </row>
    <row r="2626">
      <c r="A2626" s="71" t="n"/>
    </row>
    <row r="2628">
      <c r="A2628" s="71" t="n"/>
    </row>
    <row r="2630">
      <c r="A2630" s="71" t="n"/>
    </row>
    <row r="2632">
      <c r="A2632" s="71" t="n"/>
    </row>
    <row r="2634">
      <c r="A2634" s="71" t="n"/>
    </row>
    <row r="2636">
      <c r="A2636" s="71" t="n"/>
    </row>
    <row r="2638">
      <c r="A2638" s="71" t="n"/>
    </row>
    <row r="2640">
      <c r="A2640" s="71" t="n"/>
    </row>
    <row r="2642">
      <c r="A2642" s="71" t="n"/>
    </row>
    <row r="2644">
      <c r="A2644" s="71" t="n"/>
    </row>
    <row r="2646">
      <c r="A2646" s="71" t="n"/>
    </row>
    <row r="2648">
      <c r="A2648" s="71" t="n"/>
    </row>
    <row r="2650">
      <c r="A2650" s="71" t="n"/>
    </row>
    <row r="2652">
      <c r="A2652" s="71" t="n"/>
    </row>
    <row r="2654">
      <c r="A2654" s="71" t="n"/>
    </row>
    <row r="2656">
      <c r="A2656" s="71" t="n"/>
    </row>
    <row r="2658">
      <c r="A2658" s="71" t="n"/>
    </row>
    <row r="2660">
      <c r="A2660" s="71" t="n"/>
    </row>
    <row r="2662">
      <c r="A2662" s="71" t="n"/>
    </row>
    <row r="2664">
      <c r="A2664" s="71" t="n"/>
    </row>
    <row r="2666">
      <c r="A2666" s="71" t="n"/>
    </row>
    <row r="2668">
      <c r="A2668" s="71" t="n"/>
    </row>
    <row r="2670">
      <c r="A2670" s="71" t="n"/>
    </row>
    <row r="2672">
      <c r="A2672" s="71" t="n"/>
    </row>
    <row r="2674">
      <c r="A2674" s="71" t="n"/>
    </row>
    <row r="2676">
      <c r="A2676" s="71" t="n"/>
    </row>
    <row r="2678">
      <c r="A2678" s="71" t="n"/>
    </row>
    <row r="2680">
      <c r="A2680" s="71" t="n"/>
    </row>
    <row r="2682">
      <c r="A2682" s="71" t="n"/>
    </row>
    <row r="2684">
      <c r="A2684" s="71" t="n"/>
    </row>
    <row r="2686">
      <c r="A2686" s="71" t="n"/>
    </row>
    <row r="2688">
      <c r="A2688" s="71" t="n"/>
    </row>
    <row r="2690">
      <c r="A2690" s="71" t="n"/>
    </row>
    <row r="2692">
      <c r="A2692" s="71" t="n"/>
    </row>
    <row r="2694">
      <c r="A2694" s="71" t="n"/>
    </row>
    <row r="2696">
      <c r="A2696" s="71" t="n"/>
    </row>
    <row r="2698">
      <c r="A2698" s="71" t="n"/>
    </row>
    <row r="2700">
      <c r="A2700" s="71" t="n"/>
    </row>
    <row r="2702">
      <c r="A2702" s="71" t="n"/>
    </row>
    <row r="2704">
      <c r="A2704" s="71" t="n"/>
    </row>
    <row r="2706">
      <c r="A2706" s="71" t="n"/>
    </row>
    <row r="2708">
      <c r="A2708" s="71" t="n"/>
    </row>
    <row r="2710">
      <c r="A2710" s="71" t="n"/>
    </row>
    <row r="2712">
      <c r="A2712" s="71" t="n"/>
    </row>
    <row r="2714">
      <c r="A2714" s="71" t="n"/>
    </row>
    <row r="2716">
      <c r="A2716" s="71" t="n"/>
    </row>
    <row r="2718">
      <c r="A2718" s="71" t="n"/>
    </row>
    <row r="2720">
      <c r="A2720" s="71" t="n"/>
    </row>
    <row r="2722">
      <c r="A2722" s="71" t="n"/>
    </row>
    <row r="2724">
      <c r="A2724" s="71" t="n"/>
    </row>
    <row r="2726">
      <c r="A2726" s="71" t="n"/>
    </row>
    <row r="2728">
      <c r="A2728" s="71" t="n"/>
    </row>
    <row r="2730">
      <c r="A2730" s="71" t="n"/>
    </row>
    <row r="2732">
      <c r="A2732" s="71" t="n"/>
    </row>
    <row r="2734">
      <c r="A2734" s="71" t="n"/>
    </row>
    <row r="2736">
      <c r="A2736" s="71" t="n"/>
    </row>
    <row r="2738">
      <c r="A2738" s="71" t="n"/>
    </row>
    <row r="2740">
      <c r="A2740" s="71" t="n"/>
    </row>
    <row r="2742">
      <c r="A2742" s="71" t="n"/>
    </row>
    <row r="2744">
      <c r="A2744" s="71" t="n"/>
    </row>
    <row r="2746">
      <c r="A2746" s="71" t="n"/>
    </row>
    <row r="2748">
      <c r="A2748" s="71" t="n"/>
    </row>
    <row r="2750">
      <c r="A2750" s="71" t="n"/>
    </row>
    <row r="2752">
      <c r="A2752" s="71" t="n"/>
    </row>
    <row r="2754">
      <c r="A2754" s="71" t="n"/>
    </row>
    <row r="2756">
      <c r="A2756" s="71" t="n"/>
    </row>
    <row r="2758">
      <c r="A2758" s="71" t="n"/>
    </row>
    <row r="2760">
      <c r="A2760" s="71" t="n"/>
    </row>
    <row r="2762">
      <c r="A2762" s="71" t="n"/>
    </row>
    <row r="2764">
      <c r="A2764" s="71" t="n"/>
    </row>
    <row r="2766">
      <c r="A2766" s="71" t="n"/>
    </row>
    <row r="2768">
      <c r="A2768" s="71" t="n"/>
    </row>
    <row r="2770">
      <c r="A2770" s="71" t="n"/>
    </row>
    <row r="2772">
      <c r="A2772" s="71" t="n"/>
    </row>
    <row r="2774">
      <c r="A2774" s="71" t="n"/>
    </row>
    <row r="2776">
      <c r="A2776" s="71" t="n"/>
    </row>
    <row r="2778">
      <c r="A2778" s="71" t="n"/>
    </row>
    <row r="2780">
      <c r="A2780" s="71" t="n"/>
    </row>
    <row r="2782">
      <c r="A2782" s="71" t="n"/>
    </row>
    <row r="2784">
      <c r="A2784" s="71" t="n"/>
    </row>
    <row r="2786">
      <c r="A2786" s="71" t="n"/>
    </row>
    <row r="2788">
      <c r="A2788" s="71" t="n"/>
    </row>
    <row r="2790">
      <c r="A2790" s="71" t="n"/>
    </row>
    <row r="2792">
      <c r="A2792" s="71" t="n"/>
    </row>
    <row r="2794">
      <c r="A2794" s="71" t="n"/>
    </row>
    <row r="2796">
      <c r="A2796" s="71" t="n"/>
    </row>
    <row r="2798">
      <c r="A2798" s="71" t="n"/>
    </row>
    <row r="2800">
      <c r="A2800" s="71" t="n"/>
    </row>
    <row r="2802">
      <c r="A2802" s="71" t="n"/>
    </row>
    <row r="2804">
      <c r="A2804" s="71" t="n"/>
    </row>
    <row r="2806">
      <c r="A2806" s="71" t="n"/>
    </row>
    <row r="2808">
      <c r="A2808" s="71" t="n"/>
    </row>
    <row r="2810">
      <c r="A2810" s="71" t="n"/>
    </row>
    <row r="2812">
      <c r="A2812" s="71" t="n"/>
    </row>
    <row r="2814">
      <c r="A2814" s="71" t="n"/>
    </row>
    <row r="2816">
      <c r="A2816" s="71" t="n"/>
    </row>
    <row r="2818">
      <c r="A2818" s="71" t="n"/>
    </row>
    <row r="2820">
      <c r="A2820" s="71" t="n"/>
    </row>
    <row r="2822">
      <c r="A2822" s="71" t="n"/>
    </row>
    <row r="2824">
      <c r="A2824" s="71" t="n"/>
    </row>
    <row r="2826">
      <c r="A2826" s="71" t="n"/>
    </row>
    <row r="2828">
      <c r="A2828" s="71" t="n"/>
    </row>
    <row r="2830">
      <c r="A2830" s="71" t="n"/>
    </row>
    <row r="2832">
      <c r="A2832" s="71" t="n"/>
    </row>
    <row r="2834">
      <c r="A2834" s="71" t="n"/>
    </row>
    <row r="2835">
      <c r="A2835" s="71" t="n"/>
    </row>
    <row r="2836">
      <c r="A2836" s="72" t="n"/>
      <c r="B2836" s="73" t="n"/>
      <c r="C2836" s="88" t="n"/>
    </row>
    <row r="2837">
      <c r="A2837" s="71" t="n"/>
    </row>
    <row r="2839">
      <c r="A2839" s="71" t="n"/>
    </row>
    <row r="2841">
      <c r="A2841" s="71" t="n"/>
    </row>
    <row r="2843">
      <c r="A2843" s="71" t="n"/>
    </row>
    <row r="2845">
      <c r="A2845" s="71" t="n"/>
    </row>
    <row r="2847">
      <c r="A2847" s="71" t="n"/>
    </row>
    <row r="2849">
      <c r="A2849" s="71" t="n"/>
    </row>
    <row r="2851">
      <c r="A2851" s="71" t="n"/>
    </row>
    <row r="2853">
      <c r="A2853" s="71" t="n"/>
    </row>
    <row r="2855">
      <c r="A2855" s="71" t="n"/>
    </row>
    <row r="2857">
      <c r="A2857" s="71" t="n"/>
    </row>
    <row r="2859">
      <c r="A2859" s="71" t="n"/>
    </row>
    <row r="2861">
      <c r="A2861" s="71" t="n"/>
    </row>
    <row r="2863">
      <c r="A2863" s="71" t="n"/>
    </row>
    <row r="2865">
      <c r="A2865" s="71" t="n"/>
    </row>
    <row r="2867">
      <c r="A2867" s="71" t="n"/>
    </row>
    <row r="2869">
      <c r="A2869" s="71" t="n"/>
    </row>
    <row r="2871">
      <c r="A2871" s="71" t="n"/>
    </row>
    <row r="2873">
      <c r="A2873" s="71" t="n"/>
    </row>
    <row r="2875">
      <c r="A2875" s="71" t="n"/>
    </row>
    <row r="2877">
      <c r="A2877" s="71" t="n"/>
    </row>
    <row r="2879">
      <c r="A2879" s="71" t="n"/>
    </row>
    <row r="2881">
      <c r="A2881" s="71" t="n"/>
    </row>
    <row r="2883">
      <c r="A2883" s="71" t="n"/>
    </row>
    <row r="2885">
      <c r="A2885" s="71" t="n"/>
    </row>
    <row r="2887">
      <c r="A2887" s="71" t="n"/>
    </row>
    <row r="2889">
      <c r="A2889" s="71" t="n"/>
    </row>
    <row r="2891">
      <c r="A2891" s="71" t="n"/>
    </row>
    <row r="2893">
      <c r="A2893" s="71" t="n"/>
    </row>
    <row r="2895">
      <c r="A2895" s="71" t="n"/>
    </row>
    <row r="2897">
      <c r="A2897" s="71" t="n"/>
    </row>
    <row r="2899">
      <c r="A2899" s="71" t="n"/>
    </row>
    <row r="2901">
      <c r="A2901" s="71" t="n"/>
    </row>
    <row r="2903">
      <c r="A2903" s="71" t="n"/>
    </row>
    <row r="2905">
      <c r="A2905" s="71" t="n"/>
    </row>
    <row r="2907">
      <c r="A2907" s="71" t="n"/>
    </row>
    <row r="2909">
      <c r="A2909" s="71" t="n"/>
    </row>
    <row r="2911">
      <c r="A2911" s="71" t="n"/>
    </row>
    <row r="2913">
      <c r="A2913" s="71" t="n"/>
    </row>
    <row r="2915">
      <c r="A2915" s="71" t="n"/>
    </row>
    <row r="2917">
      <c r="A2917" s="71" t="n"/>
    </row>
    <row r="2919">
      <c r="A2919" s="71" t="n"/>
    </row>
    <row r="2921">
      <c r="A2921" s="71" t="n"/>
    </row>
    <row r="2923">
      <c r="A2923" s="71" t="n"/>
    </row>
    <row r="2925">
      <c r="A2925" s="71" t="n"/>
    </row>
    <row r="2927">
      <c r="A2927" s="71" t="n"/>
    </row>
    <row r="2929">
      <c r="A2929" s="71" t="n"/>
    </row>
    <row r="2931">
      <c r="A2931" s="71" t="n"/>
    </row>
    <row r="2933">
      <c r="A2933" s="71" t="n"/>
    </row>
    <row r="2934">
      <c r="A2934" s="71" t="n"/>
    </row>
    <row r="2935">
      <c r="A2935" s="72" t="n"/>
      <c r="B2935" s="73" t="n"/>
      <c r="C2935" s="88" t="n"/>
    </row>
    <row r="2936">
      <c r="A2936" s="71" t="n"/>
    </row>
    <row r="2938">
      <c r="A2938" s="71" t="n"/>
    </row>
    <row r="2940">
      <c r="A2940" s="71" t="n"/>
    </row>
    <row r="2942">
      <c r="A2942" s="71" t="n"/>
    </row>
    <row r="2944">
      <c r="A2944" s="71" t="n"/>
    </row>
    <row r="2946">
      <c r="A2946" s="71" t="n"/>
    </row>
    <row r="2948">
      <c r="A2948" s="71" t="n"/>
    </row>
    <row r="2950">
      <c r="A2950" s="71" t="n"/>
    </row>
    <row r="2952">
      <c r="A2952" s="71" t="n"/>
    </row>
    <row r="2954">
      <c r="A2954" s="71" t="n"/>
    </row>
    <row r="2956">
      <c r="A2956" s="71" t="n"/>
    </row>
    <row r="2958">
      <c r="A2958" s="71" t="n"/>
    </row>
    <row r="2960">
      <c r="A2960" s="71" t="n"/>
    </row>
    <row r="2962">
      <c r="A2962" s="71" t="n"/>
    </row>
    <row r="2964">
      <c r="A2964" s="71" t="n"/>
    </row>
    <row r="2966">
      <c r="A2966" s="71" t="n"/>
    </row>
    <row r="2968">
      <c r="A2968" s="71" t="n"/>
    </row>
    <row r="2970">
      <c r="A2970" s="71" t="n"/>
    </row>
    <row r="2972">
      <c r="A2972" s="71" t="n"/>
    </row>
    <row r="2974">
      <c r="A2974" s="71" t="n"/>
    </row>
    <row r="2976">
      <c r="A2976" s="71" t="n"/>
    </row>
    <row r="2977">
      <c r="A2977" s="71" t="n"/>
    </row>
    <row r="2978">
      <c r="A2978" s="72" t="n"/>
      <c r="B2978" s="73" t="n"/>
      <c r="C2978" s="88" t="n"/>
      <c r="D2978" s="78" t="n"/>
    </row>
    <row r="2979">
      <c r="A2979" s="72" t="n"/>
    </row>
    <row r="2980">
      <c r="A2980" s="72" t="n"/>
    </row>
    <row r="2981">
      <c r="A2981" s="72" t="n"/>
    </row>
    <row r="2982">
      <c r="A2982" s="72" t="n"/>
    </row>
    <row r="2983">
      <c r="A2983" s="72" t="n"/>
    </row>
    <row r="2984">
      <c r="A2984" s="72" t="n"/>
    </row>
    <row r="2985">
      <c r="A2985" s="72" t="n"/>
      <c r="B2985" s="73" t="n"/>
      <c r="C2985" s="88" t="n"/>
    </row>
    <row r="2986">
      <c r="A2986" s="72" t="n"/>
    </row>
    <row r="2987">
      <c r="A2987" s="72" t="n"/>
      <c r="B2987" s="73" t="n"/>
      <c r="C2987" s="88" t="n"/>
    </row>
    <row r="2988">
      <c r="A2988" s="72" t="n"/>
    </row>
    <row r="2989">
      <c r="A2989" s="72" t="n"/>
    </row>
    <row r="2990">
      <c r="A2990" s="72" t="n"/>
    </row>
    <row r="2991">
      <c r="A2991" s="72" t="n"/>
      <c r="B2991" s="73" t="n"/>
      <c r="C2991" s="88" t="n"/>
    </row>
    <row r="2992">
      <c r="A2992" s="72" t="n"/>
    </row>
    <row r="2993">
      <c r="A2993" s="71" t="n"/>
    </row>
    <row r="2995">
      <c r="A2995" s="71" t="n"/>
    </row>
    <row r="2997">
      <c r="A2997" s="71" t="n"/>
    </row>
    <row r="2999">
      <c r="A2999" s="71" t="n"/>
    </row>
    <row r="3001">
      <c r="A3001" s="71" t="n"/>
    </row>
    <row r="3003">
      <c r="A3003" s="71" t="n"/>
    </row>
    <row r="3005">
      <c r="A3005" s="71" t="n"/>
    </row>
    <row r="3007">
      <c r="A3007" s="71" t="n"/>
    </row>
    <row r="3009">
      <c r="A3009" s="71" t="n"/>
    </row>
    <row r="3011">
      <c r="A3011" s="71" t="n"/>
    </row>
    <row r="3013">
      <c r="A3013" s="71" t="n"/>
    </row>
    <row r="3015">
      <c r="A3015" s="71" t="n"/>
    </row>
    <row r="3017">
      <c r="A3017" s="71" t="n"/>
    </row>
    <row r="3019">
      <c r="A3019" s="71" t="n"/>
    </row>
    <row r="3021">
      <c r="A3021" s="71" t="n"/>
    </row>
    <row r="3023">
      <c r="A3023" s="71" t="n"/>
    </row>
    <row r="3025">
      <c r="A3025" s="71" t="n"/>
    </row>
    <row r="3027">
      <c r="A3027" s="71" t="n"/>
    </row>
    <row r="3029">
      <c r="A3029" s="71" t="n"/>
    </row>
    <row r="3031">
      <c r="A3031" s="71" t="n"/>
    </row>
    <row r="3033">
      <c r="A3033" s="71" t="n"/>
    </row>
    <row r="3035">
      <c r="A3035" s="71" t="n"/>
    </row>
    <row r="3037">
      <c r="A3037" s="71" t="n"/>
    </row>
    <row r="3039">
      <c r="A3039" s="71" t="n"/>
    </row>
    <row r="3041">
      <c r="A3041" s="71" t="n"/>
    </row>
    <row r="3043">
      <c r="A3043" s="71" t="n"/>
    </row>
    <row r="3045">
      <c r="A3045" s="71" t="n"/>
    </row>
    <row r="3047">
      <c r="A3047" s="71" t="n"/>
    </row>
    <row r="3049">
      <c r="A3049" s="71" t="n"/>
    </row>
    <row r="3051">
      <c r="A3051" s="71" t="n"/>
    </row>
    <row r="3053">
      <c r="A3053" s="71" t="n"/>
    </row>
    <row r="3055">
      <c r="A3055" s="71" t="n"/>
    </row>
    <row r="3057">
      <c r="A3057" s="71" t="n"/>
    </row>
    <row r="3059">
      <c r="A3059" s="71" t="n"/>
    </row>
    <row r="3061">
      <c r="A3061" s="71" t="n"/>
    </row>
    <row r="3063">
      <c r="A3063" s="71" t="n"/>
    </row>
    <row r="3065">
      <c r="A3065" s="71" t="n"/>
    </row>
    <row r="3067">
      <c r="A3067" s="71" t="n"/>
    </row>
    <row r="3069">
      <c r="A3069" s="71" t="n"/>
    </row>
    <row r="3071">
      <c r="A3071" s="71" t="n"/>
    </row>
    <row r="3073">
      <c r="A3073" s="71" t="n"/>
    </row>
    <row r="3075">
      <c r="A3075" s="71" t="n"/>
    </row>
    <row r="3077">
      <c r="A3077" s="71" t="n"/>
    </row>
    <row r="3079">
      <c r="A3079" s="71" t="n"/>
    </row>
    <row r="3081">
      <c r="A3081" s="71" t="n"/>
    </row>
    <row r="3083">
      <c r="A3083" s="71" t="n"/>
    </row>
    <row r="3085">
      <c r="A3085" s="71" t="n"/>
    </row>
    <row r="3087">
      <c r="A3087" s="71" t="n"/>
    </row>
    <row r="3089">
      <c r="A3089" s="71" t="n"/>
    </row>
    <row r="3091">
      <c r="A3091" s="71" t="n"/>
    </row>
    <row r="3093">
      <c r="A3093" s="71" t="n"/>
    </row>
    <row r="3095">
      <c r="A3095" s="71" t="n"/>
    </row>
    <row r="3097">
      <c r="A3097" s="71" t="n"/>
    </row>
    <row r="3099">
      <c r="A3099" s="71" t="n"/>
    </row>
    <row r="3101">
      <c r="A3101" s="71" t="n"/>
    </row>
    <row r="3103">
      <c r="A3103" s="71" t="n"/>
    </row>
    <row r="3105">
      <c r="A3105" s="71" t="n"/>
    </row>
    <row r="3107">
      <c r="A3107" s="71" t="n"/>
    </row>
    <row r="3109">
      <c r="A3109" s="71" t="n"/>
    </row>
    <row r="3111">
      <c r="A3111" s="71" t="n"/>
    </row>
    <row r="3113">
      <c r="A3113" s="71" t="n"/>
    </row>
    <row r="3115">
      <c r="A3115" s="71" t="n"/>
    </row>
    <row r="3117">
      <c r="A3117" s="71" t="n"/>
    </row>
    <row r="3119">
      <c r="A3119" s="71" t="n"/>
    </row>
    <row r="3121">
      <c r="A3121" s="71" t="n"/>
    </row>
    <row r="3123">
      <c r="A3123" s="71" t="n"/>
    </row>
    <row r="3125">
      <c r="A3125" s="71" t="n"/>
    </row>
    <row r="3127">
      <c r="A3127" s="71" t="n"/>
    </row>
    <row r="3129">
      <c r="A3129" s="71" t="n"/>
    </row>
    <row r="3131">
      <c r="A3131" s="71" t="n"/>
    </row>
    <row r="3133">
      <c r="A3133" s="71" t="n"/>
    </row>
    <row r="3135">
      <c r="A3135" s="71" t="n"/>
    </row>
    <row r="3137">
      <c r="A3137" s="71" t="n"/>
    </row>
    <row r="3139">
      <c r="A3139" s="71" t="n"/>
    </row>
    <row r="3141">
      <c r="A3141" s="71" t="n"/>
    </row>
    <row r="3143">
      <c r="A3143" s="71" t="n"/>
    </row>
    <row r="3145">
      <c r="A3145" s="71" t="n"/>
    </row>
    <row r="3147">
      <c r="A3147" s="71" t="n"/>
    </row>
    <row r="3149">
      <c r="A3149" s="71" t="n"/>
    </row>
    <row r="3151">
      <c r="A3151" s="71" t="n"/>
    </row>
    <row r="3153">
      <c r="A3153" s="71" t="n"/>
    </row>
    <row r="3155">
      <c r="A3155" s="71" t="n"/>
    </row>
    <row r="3157">
      <c r="A3157" s="71" t="n"/>
    </row>
    <row r="3159">
      <c r="A3159" s="71" t="n"/>
    </row>
    <row r="3161">
      <c r="A3161" s="71" t="n"/>
    </row>
    <row r="3163">
      <c r="A3163" s="71" t="n"/>
    </row>
    <row r="3165">
      <c r="A3165" s="71" t="n"/>
    </row>
    <row r="3167">
      <c r="A3167" s="71" t="n"/>
    </row>
    <row r="3169">
      <c r="A3169" s="71" t="n"/>
    </row>
    <row r="3171">
      <c r="A3171" s="71" t="n"/>
    </row>
    <row r="3173">
      <c r="A3173" s="71" t="n"/>
    </row>
    <row r="3175">
      <c r="A3175" s="71" t="n"/>
    </row>
    <row r="3177">
      <c r="A3177" s="71" t="n"/>
    </row>
    <row r="3179">
      <c r="A3179" s="71" t="n"/>
    </row>
    <row r="3181">
      <c r="A3181" s="71" t="n"/>
    </row>
    <row r="3183">
      <c r="A3183" s="71" t="n"/>
    </row>
    <row r="3185">
      <c r="A3185" s="71" t="n"/>
    </row>
    <row r="3187">
      <c r="A3187" s="71" t="n"/>
    </row>
    <row r="3189">
      <c r="A3189" s="71" t="n"/>
    </row>
    <row r="3191">
      <c r="A3191" s="71" t="n"/>
    </row>
    <row r="3193">
      <c r="A3193" s="71" t="n"/>
    </row>
    <row r="3194">
      <c r="A3194" s="71" t="n"/>
    </row>
    <row r="3195">
      <c r="A3195" s="72" t="n"/>
      <c r="B3195" s="73" t="n"/>
      <c r="C3195" s="88" t="n"/>
    </row>
    <row r="3196">
      <c r="A3196" s="72" t="n"/>
    </row>
    <row r="3197">
      <c r="A3197" s="71" t="n"/>
    </row>
    <row r="3199">
      <c r="A3199" s="71" t="n"/>
    </row>
    <row r="3201">
      <c r="A3201" s="71" t="n"/>
    </row>
    <row r="3203">
      <c r="A3203" s="71" t="n"/>
    </row>
    <row r="3205">
      <c r="A3205" s="71" t="n"/>
    </row>
    <row r="3207">
      <c r="A3207" s="71" t="n"/>
    </row>
    <row r="3209">
      <c r="A3209" s="71" t="n"/>
    </row>
    <row r="3211">
      <c r="A3211" s="71" t="n"/>
    </row>
    <row r="3213">
      <c r="A3213" s="71" t="n"/>
    </row>
    <row r="3215">
      <c r="A3215" s="71" t="n"/>
    </row>
    <row r="3217">
      <c r="A3217" s="71" t="n"/>
    </row>
    <row r="3219">
      <c r="A3219" s="71" t="n"/>
    </row>
    <row r="3221">
      <c r="A3221" s="71" t="n"/>
    </row>
    <row r="3223">
      <c r="A3223" s="71" t="n"/>
    </row>
    <row r="3225">
      <c r="A3225" s="71" t="n"/>
    </row>
    <row r="3226">
      <c r="A3226" s="71" t="n"/>
    </row>
    <row r="3227">
      <c r="A3227" s="72" t="n"/>
      <c r="B3227" s="73" t="n"/>
      <c r="C3227" s="88" t="n"/>
    </row>
    <row r="3228">
      <c r="A3228" s="71" t="n"/>
    </row>
    <row r="3230">
      <c r="A3230" s="71" t="n"/>
    </row>
    <row r="3232">
      <c r="A3232" s="71" t="n"/>
    </row>
    <row r="3234">
      <c r="A3234" s="71" t="n"/>
    </row>
    <row r="3236">
      <c r="A3236" s="71" t="n"/>
    </row>
    <row r="3238">
      <c r="A3238" s="71" t="n"/>
    </row>
    <row r="3240">
      <c r="A3240" s="71" t="n"/>
    </row>
    <row r="3242">
      <c r="A3242" s="71" t="n"/>
    </row>
    <row r="3244">
      <c r="A3244" s="71" t="n"/>
    </row>
    <row r="3246">
      <c r="A3246" s="71" t="n"/>
    </row>
    <row r="3248">
      <c r="A3248" s="71" t="n"/>
    </row>
    <row r="3250">
      <c r="A3250" s="71" t="n"/>
    </row>
    <row r="3252">
      <c r="A3252" s="71" t="n"/>
    </row>
    <row r="3254">
      <c r="A3254" s="71" t="n"/>
    </row>
    <row r="3256">
      <c r="A3256" s="71" t="n"/>
    </row>
    <row r="3258">
      <c r="A3258" s="71" t="n"/>
    </row>
    <row r="3260">
      <c r="A3260" s="71" t="n"/>
    </row>
    <row r="3262">
      <c r="A3262" s="71" t="n"/>
    </row>
    <row r="3264">
      <c r="A3264" s="71" t="n"/>
    </row>
    <row r="3266">
      <c r="A3266" s="71" t="n"/>
    </row>
    <row r="3268">
      <c r="A3268" s="71" t="n"/>
    </row>
    <row r="3270">
      <c r="A3270" s="71" t="n"/>
    </row>
    <row r="3272">
      <c r="A3272" s="71" t="n"/>
    </row>
    <row r="3274">
      <c r="A3274" s="71" t="n"/>
    </row>
    <row r="3276">
      <c r="A3276" s="71" t="n"/>
    </row>
    <row r="3278">
      <c r="A3278" s="71" t="n"/>
    </row>
    <row r="3280">
      <c r="A3280" s="71" t="n"/>
    </row>
    <row r="3282">
      <c r="A3282" s="71" t="n"/>
    </row>
    <row r="3284">
      <c r="A3284" s="71" t="n"/>
    </row>
    <row r="3286">
      <c r="A3286" s="71" t="n"/>
    </row>
    <row r="3288">
      <c r="A3288" s="71" t="n"/>
    </row>
    <row r="3290">
      <c r="A3290" s="71" t="n"/>
    </row>
    <row r="3291">
      <c r="A3291" s="71" t="n"/>
    </row>
    <row r="3292">
      <c r="A3292" s="72" t="n"/>
      <c r="B3292" s="73" t="n"/>
      <c r="C3292" s="88" t="n"/>
    </row>
    <row r="3293">
      <c r="A3293" s="71" t="n"/>
    </row>
    <row r="3295">
      <c r="A3295" s="71" t="n"/>
    </row>
    <row r="3297">
      <c r="A3297" s="71" t="n"/>
    </row>
    <row r="3299">
      <c r="A3299" s="71" t="n"/>
    </row>
    <row r="3301">
      <c r="A3301" s="71" t="n"/>
    </row>
    <row r="3303">
      <c r="A3303" s="71" t="n"/>
    </row>
    <row r="3305">
      <c r="A3305" s="71" t="n"/>
    </row>
    <row r="3307">
      <c r="A3307" s="71" t="n"/>
    </row>
    <row r="3309">
      <c r="A3309" s="71" t="n"/>
    </row>
    <row r="3311">
      <c r="A3311" s="71" t="n"/>
    </row>
    <row r="3313">
      <c r="A3313" s="71" t="n"/>
    </row>
    <row r="3315">
      <c r="A3315" s="71" t="n"/>
    </row>
    <row r="3317">
      <c r="A3317" s="71" t="n"/>
    </row>
    <row r="3319">
      <c r="A3319" s="71" t="n"/>
    </row>
    <row r="3321">
      <c r="A3321" s="71" t="n"/>
    </row>
    <row r="3323">
      <c r="A3323" s="71" t="n"/>
    </row>
    <row r="3325">
      <c r="A3325" s="71" t="n"/>
    </row>
    <row r="3327">
      <c r="A3327" s="71" t="n"/>
    </row>
    <row r="3329">
      <c r="A3329" s="71" t="n"/>
    </row>
    <row r="3331">
      <c r="A3331" s="71" t="n"/>
    </row>
    <row r="3333">
      <c r="A3333" s="71" t="n"/>
    </row>
    <row r="3335">
      <c r="A3335" s="71" t="n"/>
    </row>
    <row r="3337">
      <c r="A3337" s="71" t="n"/>
    </row>
    <row r="3339">
      <c r="A3339" s="71" t="n"/>
    </row>
    <row r="3341">
      <c r="A3341" s="71" t="n"/>
    </row>
    <row r="3343">
      <c r="A3343" s="71" t="n"/>
    </row>
    <row r="3345">
      <c r="A3345" s="71" t="n"/>
    </row>
    <row r="3347">
      <c r="A3347" s="71" t="n"/>
    </row>
    <row r="3349">
      <c r="A3349" s="71" t="n"/>
    </row>
    <row r="3351">
      <c r="A3351" s="71" t="n"/>
    </row>
    <row r="3352">
      <c r="A3352" s="71" t="n"/>
    </row>
    <row r="3353">
      <c r="A3353" s="72" t="n"/>
      <c r="B3353" s="73" t="n"/>
      <c r="C3353" s="88" t="n"/>
    </row>
    <row r="3354">
      <c r="A3354" s="72" t="n"/>
    </row>
    <row r="3355">
      <c r="A3355" s="71" t="n"/>
    </row>
    <row r="3357">
      <c r="A3357" s="71" t="n"/>
    </row>
    <row r="3359">
      <c r="A3359" s="71" t="n"/>
    </row>
    <row r="3361">
      <c r="A3361" s="71" t="n"/>
    </row>
    <row r="3363">
      <c r="A3363" s="71" t="n"/>
    </row>
    <row r="3365">
      <c r="A3365" s="71" t="n"/>
    </row>
    <row r="3367">
      <c r="A3367" s="71" t="n"/>
    </row>
    <row r="3369">
      <c r="A3369" s="71" t="n"/>
    </row>
    <row r="3371">
      <c r="A3371" s="71" t="n"/>
    </row>
    <row r="3373">
      <c r="A3373" s="71" t="n"/>
    </row>
    <row r="3375">
      <c r="A3375" s="71" t="n"/>
    </row>
    <row r="3377">
      <c r="A3377" s="71" t="n"/>
    </row>
    <row r="3379">
      <c r="A3379" s="71" t="n"/>
    </row>
    <row r="3381">
      <c r="A3381" s="71" t="n"/>
    </row>
    <row r="3382">
      <c r="A3382" s="71" t="n"/>
    </row>
    <row r="3383">
      <c r="A3383" s="72" t="n"/>
      <c r="B3383" s="73" t="n"/>
      <c r="C3383" s="88" t="n"/>
    </row>
    <row r="3384">
      <c r="A3384" s="72" t="n"/>
    </row>
    <row r="3385">
      <c r="A3385" s="72" t="n"/>
      <c r="B3385" s="73" t="n"/>
      <c r="C3385" s="88" t="n"/>
    </row>
    <row r="3386">
      <c r="A3386" s="72" t="n"/>
    </row>
    <row r="3387">
      <c r="A3387" s="72" t="n"/>
      <c r="B3387" s="73" t="n"/>
      <c r="C3387" s="88" t="n"/>
    </row>
    <row r="3388">
      <c r="A3388" s="72" t="n"/>
    </row>
    <row r="3389">
      <c r="A3389" s="72" t="n"/>
      <c r="B3389" s="73" t="n"/>
      <c r="C3389" s="88" t="n"/>
    </row>
    <row r="3390">
      <c r="A3390" s="72" t="n"/>
    </row>
    <row r="3391">
      <c r="A3391" s="72" t="n"/>
      <c r="B3391" s="73" t="n"/>
      <c r="C3391" s="88" t="n"/>
    </row>
    <row r="3392">
      <c r="A3392" s="72" t="n"/>
    </row>
    <row r="3393">
      <c r="A3393" s="72" t="n"/>
    </row>
    <row r="3394">
      <c r="A3394" s="72" t="n"/>
      <c r="B3394" s="73" t="n"/>
      <c r="C3394" s="88" t="n"/>
      <c r="D3394" s="78" t="n"/>
    </row>
    <row r="3395">
      <c r="A3395" s="72" t="n"/>
    </row>
    <row r="3396">
      <c r="A3396" s="72" t="n"/>
      <c r="B3396" s="73" t="n"/>
      <c r="C3396" s="88" t="n"/>
      <c r="D3396" s="78" t="n"/>
    </row>
    <row r="3397">
      <c r="A3397" s="72" t="n"/>
    </row>
    <row r="3398">
      <c r="A3398" s="72" t="n"/>
    </row>
    <row r="3399">
      <c r="A3399" s="72" t="n"/>
      <c r="B3399" s="73" t="n"/>
      <c r="C3399" s="88" t="n"/>
      <c r="D3399" s="78" t="n"/>
    </row>
    <row r="3400">
      <c r="A3400" s="71" t="n"/>
    </row>
    <row r="3402">
      <c r="A3402" s="71" t="n"/>
    </row>
    <row r="3404">
      <c r="A3404" s="71" t="n"/>
    </row>
    <row r="3406">
      <c r="A3406" s="71" t="n"/>
    </row>
    <row r="3408">
      <c r="A3408" s="71" t="n"/>
    </row>
    <row r="3410">
      <c r="A3410" s="71" t="n"/>
    </row>
    <row r="3412">
      <c r="A3412" s="71" t="n"/>
    </row>
    <row r="3414">
      <c r="A3414" s="71" t="n"/>
    </row>
    <row r="3416">
      <c r="A3416" s="71" t="n"/>
    </row>
    <row r="3418">
      <c r="A3418" s="71" t="n"/>
    </row>
    <row r="3420">
      <c r="A3420" s="71" t="n"/>
    </row>
    <row r="3422">
      <c r="A3422" s="71" t="n"/>
    </row>
    <row r="3424">
      <c r="A3424" s="71" t="n"/>
    </row>
    <row r="3426">
      <c r="A3426" s="71" t="n"/>
    </row>
    <row r="3427">
      <c r="A3427" s="71" t="n"/>
    </row>
    <row r="3428">
      <c r="A3428" s="72" t="n"/>
      <c r="B3428" s="73" t="n"/>
      <c r="C3428" s="88" t="n"/>
    </row>
    <row r="3429">
      <c r="A3429" s="71" t="n"/>
    </row>
    <row r="3431">
      <c r="A3431" s="71" t="n"/>
    </row>
    <row r="3433">
      <c r="A3433" s="71" t="n"/>
    </row>
    <row r="3435">
      <c r="A3435" s="71" t="n"/>
    </row>
    <row r="3437">
      <c r="A3437" s="71" t="n"/>
    </row>
    <row r="3439">
      <c r="A3439" s="71" t="n"/>
    </row>
    <row r="3441">
      <c r="A3441" s="71" t="n"/>
    </row>
    <row r="3443">
      <c r="A3443" s="71" t="n"/>
    </row>
    <row r="3445">
      <c r="A3445" s="71" t="n"/>
    </row>
    <row r="3447">
      <c r="A3447" s="71" t="n"/>
    </row>
    <row r="3449">
      <c r="A3449" s="71" t="n"/>
    </row>
    <row r="3451">
      <c r="A3451" s="71" t="n"/>
    </row>
    <row r="3453">
      <c r="A3453" s="71" t="n"/>
    </row>
    <row r="3455">
      <c r="A3455" s="71" t="n"/>
    </row>
    <row r="3457">
      <c r="A3457" s="71" t="n"/>
    </row>
    <row r="3459">
      <c r="A3459" s="71" t="n"/>
    </row>
    <row r="3461">
      <c r="A3461" s="71" t="n"/>
    </row>
    <row r="3463">
      <c r="A3463" s="71" t="n"/>
    </row>
    <row r="3465">
      <c r="A3465" s="71" t="n"/>
    </row>
    <row r="3467">
      <c r="A3467" s="71" t="n"/>
    </row>
    <row r="3469">
      <c r="A3469" s="71" t="n"/>
    </row>
    <row r="3471">
      <c r="A3471" s="71" t="n"/>
    </row>
    <row r="3473">
      <c r="A3473" s="71" t="n"/>
    </row>
    <row r="3475">
      <c r="A3475" s="71" t="n"/>
    </row>
    <row r="3477">
      <c r="A3477" s="71" t="n"/>
    </row>
    <row r="3479">
      <c r="A3479" s="71" t="n"/>
    </row>
    <row r="3481">
      <c r="A3481" s="71" t="n"/>
    </row>
    <row r="3483">
      <c r="A3483" s="71" t="n"/>
    </row>
    <row r="3485">
      <c r="A3485" s="71" t="n"/>
    </row>
    <row r="3487">
      <c r="A3487" s="71" t="n"/>
    </row>
    <row r="3489">
      <c r="A3489" s="71" t="n"/>
    </row>
    <row r="3491">
      <c r="A3491" s="71" t="n"/>
    </row>
    <row r="3493">
      <c r="A3493" s="71" t="n"/>
    </row>
    <row r="3495">
      <c r="A3495" s="71" t="n"/>
    </row>
    <row r="3497">
      <c r="A3497" s="71" t="n"/>
    </row>
    <row r="3499">
      <c r="A3499" s="71" t="n"/>
    </row>
    <row r="3501">
      <c r="A3501" s="71" t="n"/>
    </row>
    <row r="3503">
      <c r="A3503" s="71" t="n"/>
    </row>
    <row r="3505">
      <c r="A3505" s="71" t="n"/>
    </row>
    <row r="3507">
      <c r="A3507" s="71" t="n"/>
    </row>
    <row r="3509">
      <c r="A3509" s="71" t="n"/>
    </row>
    <row r="3511">
      <c r="A3511" s="71" t="n"/>
    </row>
    <row r="3513">
      <c r="A3513" s="71" t="n"/>
    </row>
    <row r="3515">
      <c r="A3515" s="71" t="n"/>
    </row>
    <row r="3517">
      <c r="A3517" s="71" t="n"/>
    </row>
    <row r="3519">
      <c r="A3519" s="71" t="n"/>
    </row>
    <row r="3521">
      <c r="A3521" s="71" t="n"/>
    </row>
    <row r="3523">
      <c r="A3523" s="71" t="n"/>
    </row>
    <row r="3525">
      <c r="A3525" s="71" t="n"/>
    </row>
    <row r="3527">
      <c r="A3527" s="71" t="n"/>
    </row>
    <row r="3529">
      <c r="A3529" s="71" t="n"/>
    </row>
    <row r="3531">
      <c r="A3531" s="71" t="n"/>
    </row>
    <row r="3533">
      <c r="A3533" s="71" t="n"/>
    </row>
    <row r="3535">
      <c r="A3535" s="71" t="n"/>
    </row>
    <row r="3537">
      <c r="A3537" s="71" t="n"/>
    </row>
    <row r="3539">
      <c r="A3539" s="71" t="n"/>
    </row>
    <row r="3541">
      <c r="A3541" s="71" t="n"/>
    </row>
    <row r="3543">
      <c r="A3543" s="71" t="n"/>
    </row>
    <row r="3545">
      <c r="A3545" s="71" t="n"/>
    </row>
    <row r="3547">
      <c r="A3547" s="71" t="n"/>
    </row>
    <row r="3549">
      <c r="A3549" s="71" t="n"/>
    </row>
    <row r="3551">
      <c r="A3551" s="71" t="n"/>
    </row>
    <row r="3553">
      <c r="A3553" s="71" t="n"/>
    </row>
    <row r="3555">
      <c r="A3555" s="71" t="n"/>
    </row>
    <row r="3557">
      <c r="A3557" s="71" t="n"/>
    </row>
    <row r="3559">
      <c r="A3559" s="71" t="n"/>
    </row>
    <row r="3561">
      <c r="A3561" s="71" t="n"/>
    </row>
    <row r="3563">
      <c r="A3563" s="71" t="n"/>
    </row>
    <row r="3565">
      <c r="A3565" s="71" t="n"/>
    </row>
    <row r="3567">
      <c r="A3567" s="71" t="n"/>
    </row>
    <row r="3569">
      <c r="A3569" s="71" t="n"/>
    </row>
    <row r="3571">
      <c r="A3571" s="71" t="n"/>
    </row>
    <row r="3573">
      <c r="A3573" s="71" t="n"/>
    </row>
    <row r="3575">
      <c r="A3575" s="71" t="n"/>
    </row>
    <row r="3577">
      <c r="A3577" s="71" t="n"/>
    </row>
    <row r="3579">
      <c r="A3579" s="71" t="n"/>
    </row>
    <row r="3581">
      <c r="A3581" s="71" t="n"/>
    </row>
    <row r="3583">
      <c r="A3583" s="71" t="n"/>
    </row>
    <row r="3585">
      <c r="A3585" s="71" t="n"/>
    </row>
    <row r="3587">
      <c r="A3587" s="71" t="n"/>
    </row>
    <row r="3589">
      <c r="A3589" s="71" t="n"/>
    </row>
    <row r="3591">
      <c r="A3591" s="71" t="n"/>
    </row>
    <row r="3593">
      <c r="A3593" s="71" t="n"/>
    </row>
    <row r="3595">
      <c r="A3595" s="71" t="n"/>
    </row>
    <row r="3597">
      <c r="A3597" s="71" t="n"/>
    </row>
    <row r="3599">
      <c r="A3599" s="71" t="n"/>
    </row>
    <row r="3601">
      <c r="A3601" s="71" t="n"/>
    </row>
    <row r="3603">
      <c r="A3603" s="71" t="n"/>
    </row>
    <row r="3605">
      <c r="A3605" s="71" t="n"/>
    </row>
    <row r="3607">
      <c r="A3607" s="71" t="n"/>
    </row>
    <row r="3609">
      <c r="A3609" s="71" t="n"/>
    </row>
    <row r="3611">
      <c r="A3611" s="71" t="n"/>
    </row>
    <row r="3613">
      <c r="A3613" s="71" t="n"/>
    </row>
    <row r="3615">
      <c r="A3615" s="71" t="n"/>
    </row>
    <row r="3617">
      <c r="A3617" s="71" t="n"/>
    </row>
    <row r="3619">
      <c r="A3619" s="71" t="n"/>
    </row>
    <row r="3620">
      <c r="A3620" s="71" t="n"/>
    </row>
    <row r="3621">
      <c r="A3621" s="72" t="n"/>
      <c r="B3621" s="73" t="n"/>
      <c r="C3621" s="88" t="n"/>
    </row>
    <row r="3622">
      <c r="A3622" s="72" t="n"/>
    </row>
    <row r="3623">
      <c r="A3623" s="72" t="n"/>
    </row>
    <row r="3624">
      <c r="A3624" s="72" t="n"/>
    </row>
    <row r="3625">
      <c r="A3625" s="72" t="n"/>
    </row>
    <row r="3626">
      <c r="A3626" s="71" t="n"/>
    </row>
    <row r="3628">
      <c r="A3628" s="71" t="n"/>
    </row>
    <row r="3630">
      <c r="A3630" s="71" t="n"/>
    </row>
    <row r="3632">
      <c r="A3632" s="71" t="n"/>
    </row>
    <row r="3633">
      <c r="A3633" s="71" t="n"/>
    </row>
    <row r="3634">
      <c r="A3634" s="72" t="n"/>
      <c r="B3634" s="73" t="n"/>
      <c r="C3634" s="88" t="n"/>
    </row>
    <row r="3635">
      <c r="A3635" s="71" t="n"/>
    </row>
    <row r="3637">
      <c r="A3637" s="71" t="n"/>
    </row>
    <row r="3639">
      <c r="A3639" s="71" t="n"/>
    </row>
    <row r="3641">
      <c r="A3641" s="71" t="n"/>
    </row>
    <row r="3643">
      <c r="A3643" s="71" t="n"/>
    </row>
    <row r="3645">
      <c r="A3645" s="71" t="n"/>
    </row>
    <row r="3647">
      <c r="A3647" s="71" t="n"/>
    </row>
    <row r="3649">
      <c r="A3649" s="71" t="n"/>
    </row>
    <row r="3651">
      <c r="A3651" s="71" t="n"/>
    </row>
    <row r="3653">
      <c r="A3653" s="71" t="n"/>
    </row>
    <row r="3655">
      <c r="A3655" s="71" t="n"/>
    </row>
    <row r="3657">
      <c r="A3657" s="71" t="n"/>
    </row>
    <row r="3659">
      <c r="A3659" s="71" t="n"/>
    </row>
    <row r="3661">
      <c r="A3661" s="71" t="n"/>
    </row>
    <row r="3663">
      <c r="A3663" s="71" t="n"/>
    </row>
    <row r="3665">
      <c r="A3665" s="71" t="n"/>
    </row>
    <row r="3667">
      <c r="A3667" s="71" t="n"/>
    </row>
    <row r="3669">
      <c r="A3669" s="71" t="n"/>
    </row>
    <row r="3671">
      <c r="A3671" s="71" t="n"/>
    </row>
    <row r="3673">
      <c r="A3673" s="71" t="n"/>
    </row>
    <row r="3675">
      <c r="A3675" s="71" t="n"/>
    </row>
    <row r="3677">
      <c r="A3677" s="71" t="n"/>
    </row>
    <row r="3679">
      <c r="A3679" s="71" t="n"/>
    </row>
    <row r="3681">
      <c r="A3681" s="71" t="n"/>
    </row>
    <row r="3683">
      <c r="A3683" s="71" t="n"/>
    </row>
    <row r="3685">
      <c r="A3685" s="71" t="n"/>
    </row>
    <row r="3687">
      <c r="A3687" s="71" t="n"/>
    </row>
    <row r="3689">
      <c r="A3689" s="71" t="n"/>
    </row>
    <row r="3691">
      <c r="A3691" s="71" t="n"/>
    </row>
    <row r="3693">
      <c r="A3693" s="71" t="n"/>
    </row>
    <row r="3695">
      <c r="A3695" s="71" t="n"/>
    </row>
    <row r="3696">
      <c r="A3696" s="71" t="n"/>
    </row>
    <row r="3697">
      <c r="A3697" s="72" t="n"/>
      <c r="B3697" s="73" t="n"/>
      <c r="C3697" s="88" t="n"/>
    </row>
    <row r="3698">
      <c r="A3698" s="71" t="n"/>
    </row>
    <row r="3700">
      <c r="A3700" s="71" t="n"/>
    </row>
    <row r="3702">
      <c r="A3702" s="71" t="n"/>
    </row>
    <row r="3704">
      <c r="A3704" s="71" t="n"/>
    </row>
    <row r="3706">
      <c r="A3706" s="71" t="n"/>
    </row>
    <row r="3708">
      <c r="A3708" s="71" t="n"/>
    </row>
    <row r="3710">
      <c r="A3710" s="71" t="n"/>
    </row>
    <row r="3712">
      <c r="A3712" s="71" t="n"/>
    </row>
    <row r="3714">
      <c r="A3714" s="71" t="n"/>
    </row>
    <row r="3716">
      <c r="A3716" s="71" t="n"/>
    </row>
    <row r="3718">
      <c r="A3718" s="71" t="n"/>
    </row>
    <row r="3720">
      <c r="A3720" s="71" t="n"/>
    </row>
    <row r="3722">
      <c r="A3722" s="71" t="n"/>
    </row>
    <row r="3724">
      <c r="A3724" s="71" t="n"/>
    </row>
    <row r="3726">
      <c r="A3726" s="71" t="n"/>
    </row>
    <row r="3728">
      <c r="A3728" s="71" t="n"/>
    </row>
    <row r="3730">
      <c r="A3730" s="71" t="n"/>
    </row>
    <row r="3732">
      <c r="A3732" s="71" t="n"/>
    </row>
    <row r="3734">
      <c r="A3734" s="71" t="n"/>
    </row>
    <row r="3736">
      <c r="A3736" s="71" t="n"/>
    </row>
    <row r="3738">
      <c r="A3738" s="71" t="n"/>
    </row>
    <row r="3740">
      <c r="A3740" s="71" t="n"/>
    </row>
    <row r="3742">
      <c r="A3742" s="71" t="n"/>
    </row>
    <row r="3744">
      <c r="A3744" s="71" t="n"/>
    </row>
    <row r="3746">
      <c r="A3746" s="71" t="n"/>
    </row>
    <row r="3748">
      <c r="A3748" s="71" t="n"/>
    </row>
    <row r="3750">
      <c r="A3750" s="71" t="n"/>
    </row>
    <row r="3752">
      <c r="A3752" s="71" t="n"/>
    </row>
    <row r="3754">
      <c r="A3754" s="71" t="n"/>
    </row>
    <row r="3756">
      <c r="A3756" s="71" t="n"/>
    </row>
    <row r="3758">
      <c r="A3758" s="71" t="n"/>
    </row>
    <row r="3760">
      <c r="A3760" s="71" t="n"/>
    </row>
    <row r="3762">
      <c r="A3762" s="71" t="n"/>
    </row>
    <row r="3764">
      <c r="A3764" s="71" t="n"/>
    </row>
    <row r="3766">
      <c r="A3766" s="71" t="n"/>
    </row>
    <row r="3767">
      <c r="A3767" s="71" t="n"/>
    </row>
    <row r="3768">
      <c r="A3768" s="72" t="n"/>
      <c r="B3768" s="73" t="n"/>
      <c r="C3768" s="88" t="n"/>
    </row>
    <row r="3769">
      <c r="A3769" s="71" t="n"/>
    </row>
    <row r="3771">
      <c r="A3771" s="71" t="n"/>
    </row>
    <row r="3773">
      <c r="A3773" s="71" t="n"/>
    </row>
    <row r="3775">
      <c r="A3775" s="71" t="n"/>
    </row>
    <row r="3777">
      <c r="A3777" s="71" t="n"/>
    </row>
    <row r="3779">
      <c r="A3779" s="71" t="n"/>
    </row>
    <row r="3781">
      <c r="A3781" s="71" t="n"/>
    </row>
    <row r="3783">
      <c r="A3783" s="71" t="n"/>
    </row>
    <row r="3785">
      <c r="A3785" s="71" t="n"/>
    </row>
    <row r="3787">
      <c r="A3787" s="71" t="n"/>
    </row>
    <row r="3789">
      <c r="A3789" s="71" t="n"/>
    </row>
    <row r="3791">
      <c r="A3791" s="71" t="n"/>
    </row>
    <row r="3793">
      <c r="A3793" s="71" t="n"/>
    </row>
    <row r="3795">
      <c r="A3795" s="71" t="n"/>
    </row>
    <row r="3797">
      <c r="A3797" s="71" t="n"/>
    </row>
    <row r="3799">
      <c r="A3799" s="71" t="n"/>
    </row>
    <row r="3801">
      <c r="A3801" s="71" t="n"/>
    </row>
    <row r="3803">
      <c r="A3803" s="71" t="n"/>
    </row>
    <row r="3805">
      <c r="A3805" s="71" t="n"/>
    </row>
    <row r="3807">
      <c r="A3807" s="71" t="n"/>
    </row>
    <row r="3809">
      <c r="A3809" s="71" t="n"/>
    </row>
    <row r="3811">
      <c r="A3811" s="71" t="n"/>
    </row>
    <row r="3813">
      <c r="A3813" s="71" t="n"/>
    </row>
    <row r="3815">
      <c r="A3815" s="71" t="n"/>
    </row>
    <row r="3817">
      <c r="A3817" s="71" t="n"/>
    </row>
    <row r="3818">
      <c r="A3818" s="71" t="n"/>
    </row>
    <row r="3819">
      <c r="A3819" s="72" t="n"/>
      <c r="B3819" s="73" t="n"/>
      <c r="C3819" s="88" t="n"/>
    </row>
    <row r="3820">
      <c r="A3820" s="71" t="n"/>
    </row>
    <row r="3822">
      <c r="A3822" s="71" t="n"/>
    </row>
    <row r="3824">
      <c r="A3824" s="71" t="n"/>
    </row>
    <row r="3826">
      <c r="A3826" s="71" t="n"/>
    </row>
    <row r="3828">
      <c r="A3828" s="71" t="n"/>
    </row>
    <row r="3829">
      <c r="A3829" s="71" t="n"/>
    </row>
    <row r="3830">
      <c r="A3830" s="72" t="n"/>
      <c r="B3830" s="73" t="n"/>
      <c r="C3830" s="88" t="n"/>
    </row>
    <row r="3831">
      <c r="A3831" s="71" t="n"/>
    </row>
    <row r="3832">
      <c r="A3832" s="71" t="n"/>
    </row>
    <row r="3833">
      <c r="A3833" s="72" t="n"/>
      <c r="B3833" s="73" t="n"/>
      <c r="C3833" s="88" t="n"/>
    </row>
    <row r="3834">
      <c r="A3834" s="72" t="n"/>
    </row>
    <row r="3835">
      <c r="A3835" s="72" t="n"/>
      <c r="B3835" s="73" t="n"/>
      <c r="C3835" s="88" t="n"/>
    </row>
    <row r="3836">
      <c r="A3836" s="72" t="n"/>
    </row>
    <row r="3837">
      <c r="A3837" s="72" t="n"/>
    </row>
    <row r="3838">
      <c r="A3838" s="71" t="n"/>
    </row>
    <row r="3840">
      <c r="A3840" s="71" t="n"/>
    </row>
    <row r="3842">
      <c r="A3842" s="71" t="n"/>
    </row>
    <row r="3844">
      <c r="A3844" s="71" t="n"/>
    </row>
    <row r="3846">
      <c r="A3846" s="71" t="n"/>
    </row>
    <row r="3848">
      <c r="A3848" s="71" t="n"/>
    </row>
    <row r="3850">
      <c r="A3850" s="71" t="n"/>
    </row>
    <row r="3852">
      <c r="A3852" s="71" t="n"/>
    </row>
    <row r="3854">
      <c r="A3854" s="71" t="n"/>
    </row>
    <row r="3856">
      <c r="A3856" s="71" t="n"/>
    </row>
    <row r="3858">
      <c r="A3858" s="71" t="n"/>
    </row>
    <row r="3860">
      <c r="A3860" s="71" t="n"/>
    </row>
    <row r="3862">
      <c r="A3862" s="71" t="n"/>
    </row>
    <row r="3864">
      <c r="A3864" s="71" t="n"/>
    </row>
    <row r="3866">
      <c r="A3866" s="71" t="n"/>
    </row>
    <row r="3868">
      <c r="A3868" s="71" t="n"/>
    </row>
    <row r="3870">
      <c r="A3870" s="71" t="n"/>
    </row>
    <row r="3872">
      <c r="A3872" s="71" t="n"/>
    </row>
    <row r="3874">
      <c r="A3874" s="71" t="n"/>
    </row>
    <row r="3876">
      <c r="A3876" s="71" t="n"/>
    </row>
    <row r="3878">
      <c r="A3878" s="71" t="n"/>
    </row>
    <row r="3880">
      <c r="A3880" s="71" t="n"/>
    </row>
    <row r="3882">
      <c r="A3882" s="71" t="n"/>
    </row>
    <row r="3884">
      <c r="A3884" s="71" t="n"/>
    </row>
    <row r="3886">
      <c r="A3886" s="71" t="n"/>
    </row>
    <row r="3888">
      <c r="A3888" s="71" t="n"/>
    </row>
    <row r="3890">
      <c r="A3890" s="71" t="n"/>
    </row>
    <row r="3892">
      <c r="A3892" s="71" t="n"/>
    </row>
    <row r="3894">
      <c r="A3894" s="71" t="n"/>
    </row>
    <row r="3896">
      <c r="A3896" s="71" t="n"/>
    </row>
    <row r="3898">
      <c r="A3898" s="71" t="n"/>
    </row>
    <row r="3900">
      <c r="A3900" s="71" t="n"/>
    </row>
    <row r="3902">
      <c r="A3902" s="71" t="n"/>
    </row>
    <row r="3904">
      <c r="A3904" s="71" t="n"/>
    </row>
    <row r="3906">
      <c r="A3906" s="71" t="n"/>
    </row>
    <row r="3908">
      <c r="A3908" s="71" t="n"/>
    </row>
    <row r="3910">
      <c r="A3910" s="71" t="n"/>
    </row>
    <row r="3912">
      <c r="A3912" s="71" t="n"/>
    </row>
    <row r="3914">
      <c r="A3914" s="71" t="n"/>
    </row>
    <row r="3916">
      <c r="A3916" s="71" t="n"/>
    </row>
    <row r="3918">
      <c r="A3918" s="71" t="n"/>
    </row>
    <row r="3920">
      <c r="A3920" s="71" t="n"/>
    </row>
    <row r="3922">
      <c r="A3922" s="71" t="n"/>
    </row>
    <row r="3924">
      <c r="A3924" s="71" t="n"/>
    </row>
    <row r="3926">
      <c r="A3926" s="71" t="n"/>
    </row>
    <row r="3928">
      <c r="A3928" s="71" t="n"/>
    </row>
    <row r="3930">
      <c r="A3930" s="71" t="n"/>
    </row>
    <row r="3932">
      <c r="A3932" s="71" t="n"/>
    </row>
    <row r="3934">
      <c r="A3934" s="71" t="n"/>
    </row>
    <row r="3936">
      <c r="A3936" s="71" t="n"/>
    </row>
    <row r="3938">
      <c r="A3938" s="71" t="n"/>
    </row>
    <row r="3940">
      <c r="A3940" s="71" t="n"/>
    </row>
    <row r="3942">
      <c r="A3942" s="71" t="n"/>
    </row>
    <row r="3944">
      <c r="A3944" s="71" t="n"/>
    </row>
    <row r="3946">
      <c r="A3946" s="71" t="n"/>
    </row>
    <row r="3948">
      <c r="A3948" s="71" t="n"/>
    </row>
    <row r="3950">
      <c r="A3950" s="71" t="n"/>
    </row>
    <row r="3952">
      <c r="A3952" s="71" t="n"/>
    </row>
    <row r="3954">
      <c r="A3954" s="71" t="n"/>
    </row>
    <row r="3956">
      <c r="A3956" s="71" t="n"/>
    </row>
    <row r="3958">
      <c r="A3958" s="71" t="n"/>
    </row>
    <row r="3960">
      <c r="A3960" s="71" t="n"/>
    </row>
    <row r="3962">
      <c r="A3962" s="71" t="n"/>
    </row>
    <row r="3964">
      <c r="A3964" s="71" t="n"/>
    </row>
    <row r="3965">
      <c r="A3965" s="71" t="n"/>
    </row>
    <row r="3966">
      <c r="A3966" s="72" t="n"/>
      <c r="B3966" s="73" t="n"/>
      <c r="C3966" s="88" t="n"/>
    </row>
    <row r="3967">
      <c r="A3967" s="71" t="n"/>
    </row>
    <row r="3969">
      <c r="A3969" s="71" t="n"/>
    </row>
    <row r="3971">
      <c r="A3971" s="71" t="n"/>
    </row>
    <row r="3973">
      <c r="A3973" s="71" t="n"/>
    </row>
    <row r="3975">
      <c r="A3975" s="71" t="n"/>
    </row>
    <row r="3977">
      <c r="A3977" s="71" t="n"/>
    </row>
    <row r="3979">
      <c r="A3979" s="71" t="n"/>
    </row>
    <row r="3981">
      <c r="A3981" s="71" t="n"/>
    </row>
    <row r="3983">
      <c r="A3983" s="71" t="n"/>
    </row>
    <row r="3985">
      <c r="A3985" s="71" t="n"/>
    </row>
    <row r="3987">
      <c r="A3987" s="71" t="n"/>
    </row>
    <row r="3989">
      <c r="A3989" s="71" t="n"/>
    </row>
    <row r="3991">
      <c r="A3991" s="71" t="n"/>
    </row>
    <row r="3993">
      <c r="A3993" s="71" t="n"/>
    </row>
    <row r="3995">
      <c r="A3995" s="71" t="n"/>
    </row>
    <row r="3997">
      <c r="A3997" s="71" t="n"/>
    </row>
    <row r="3999">
      <c r="A3999" s="71" t="n"/>
    </row>
    <row r="4001">
      <c r="A4001" s="71" t="n"/>
    </row>
    <row r="4003">
      <c r="A4003" s="71" t="n"/>
    </row>
    <row r="4005">
      <c r="A4005" s="71" t="n"/>
    </row>
    <row r="4007">
      <c r="A4007" s="71" t="n"/>
    </row>
    <row r="4009">
      <c r="A4009" s="71" t="n"/>
    </row>
    <row r="4011">
      <c r="A4011" s="71" t="n"/>
    </row>
    <row r="4013">
      <c r="A4013" s="71" t="n"/>
    </row>
    <row r="4015">
      <c r="A4015" s="71" t="n"/>
    </row>
    <row r="4017">
      <c r="A4017" s="71" t="n"/>
    </row>
    <row r="4019">
      <c r="A4019" s="71" t="n"/>
    </row>
    <row r="4021">
      <c r="A4021" s="71" t="n"/>
    </row>
    <row r="4023">
      <c r="A4023" s="71" t="n"/>
    </row>
    <row r="4025">
      <c r="A4025" s="71" t="n"/>
    </row>
    <row r="4027">
      <c r="A4027" s="71" t="n"/>
    </row>
    <row r="4029">
      <c r="A4029" s="71" t="n"/>
    </row>
    <row r="4031">
      <c r="A4031" s="71" t="n"/>
    </row>
    <row r="4033">
      <c r="A4033" s="71" t="n"/>
    </row>
    <row r="4035">
      <c r="A4035" s="71" t="n"/>
    </row>
    <row r="4037">
      <c r="A4037" s="71" t="n"/>
    </row>
    <row r="4039">
      <c r="A4039" s="71" t="n"/>
    </row>
    <row r="4041">
      <c r="A4041" s="71" t="n"/>
    </row>
    <row r="4043">
      <c r="A4043" s="71" t="n"/>
    </row>
    <row r="4045">
      <c r="A4045" s="71" t="n"/>
    </row>
    <row r="4047">
      <c r="A4047" s="71" t="n"/>
    </row>
    <row r="4049">
      <c r="A4049" s="71" t="n"/>
    </row>
    <row r="4051">
      <c r="A4051" s="71" t="n"/>
    </row>
    <row r="4053">
      <c r="A4053" s="71" t="n"/>
    </row>
    <row r="4055">
      <c r="A4055" s="71" t="n"/>
    </row>
    <row r="4057">
      <c r="A4057" s="71" t="n"/>
    </row>
    <row r="4059">
      <c r="A4059" s="71" t="n"/>
    </row>
    <row r="4061">
      <c r="A4061" s="71" t="n"/>
    </row>
    <row r="4063">
      <c r="A4063" s="71" t="n"/>
    </row>
    <row r="4065">
      <c r="A4065" s="71" t="n"/>
    </row>
    <row r="4067">
      <c r="A4067" s="71" t="n"/>
    </row>
    <row r="4069">
      <c r="A4069" s="71" t="n"/>
    </row>
    <row r="4071">
      <c r="A4071" s="71" t="n"/>
    </row>
    <row r="4073">
      <c r="A4073" s="71" t="n"/>
    </row>
    <row r="4075">
      <c r="A4075" s="71" t="n"/>
    </row>
    <row r="4077">
      <c r="A4077" s="71" t="n"/>
    </row>
    <row r="4079">
      <c r="A4079" s="71" t="n"/>
    </row>
    <row r="4081">
      <c r="A4081" s="71" t="n"/>
    </row>
    <row r="4083">
      <c r="A4083" s="71" t="n"/>
    </row>
    <row r="4085">
      <c r="A4085" s="71" t="n"/>
    </row>
    <row r="4087">
      <c r="A4087" s="71" t="n"/>
    </row>
    <row r="4089">
      <c r="A4089" s="71" t="n"/>
    </row>
    <row r="4091">
      <c r="A4091" s="71" t="n"/>
    </row>
    <row r="4093">
      <c r="A4093" s="71" t="n"/>
    </row>
    <row r="4095">
      <c r="A4095" s="71" t="n"/>
    </row>
    <row r="4097">
      <c r="A4097" s="71" t="n"/>
    </row>
    <row r="4099">
      <c r="A4099" s="71" t="n"/>
    </row>
    <row r="4101">
      <c r="A4101" s="71" t="n"/>
    </row>
    <row r="4103">
      <c r="A4103" s="71" t="n"/>
    </row>
    <row r="4105">
      <c r="A4105" s="71" t="n"/>
    </row>
    <row r="4107">
      <c r="A4107" s="71" t="n"/>
    </row>
    <row r="4109">
      <c r="A4109" s="71" t="n"/>
    </row>
    <row r="4110">
      <c r="A4110" s="71" t="n"/>
    </row>
    <row r="4111">
      <c r="A4111" s="72" t="n"/>
      <c r="B4111" s="73" t="n"/>
      <c r="C4111" s="88" t="n"/>
    </row>
    <row r="4112">
      <c r="A4112" s="72" t="n"/>
    </row>
    <row r="4113">
      <c r="A4113" s="72" t="n"/>
    </row>
    <row r="4114">
      <c r="A4114" s="72" t="n"/>
    </row>
    <row r="4115">
      <c r="A4115" s="72" t="n"/>
    </row>
    <row r="4116">
      <c r="A4116" s="72" t="n"/>
      <c r="B4116" s="73" t="n"/>
      <c r="C4116" s="88" t="n"/>
    </row>
    <row r="4117">
      <c r="A4117" s="72" t="n"/>
    </row>
    <row r="4118">
      <c r="A4118" s="72" t="n"/>
    </row>
    <row r="4119">
      <c r="A4119" s="72" t="n"/>
    </row>
    <row r="4120">
      <c r="A4120" s="72" t="n"/>
    </row>
    <row r="4121">
      <c r="A4121" s="72" t="n"/>
    </row>
    <row r="4122">
      <c r="A4122" s="72" t="n"/>
      <c r="B4122" s="73" t="n"/>
      <c r="C4122" s="88" t="n"/>
    </row>
    <row r="4123">
      <c r="A4123" s="71" t="n"/>
    </row>
    <row r="4125">
      <c r="A4125" s="71" t="n"/>
    </row>
    <row r="4127">
      <c r="A4127" s="71" t="n"/>
    </row>
    <row r="4129">
      <c r="A4129" s="71" t="n"/>
    </row>
    <row r="4131">
      <c r="A4131" s="71" t="n"/>
    </row>
    <row r="4133">
      <c r="A4133" s="71" t="n"/>
    </row>
    <row r="4134">
      <c r="A4134" s="71" t="n"/>
    </row>
    <row r="4135">
      <c r="A4135" s="72" t="n"/>
      <c r="B4135" s="73" t="n"/>
      <c r="C4135" s="88" t="n"/>
    </row>
    <row r="4136">
      <c r="A4136" s="72" t="n"/>
    </row>
    <row r="4137">
      <c r="A4137" s="72" t="n"/>
    </row>
    <row r="4138">
      <c r="A4138" s="72" t="n"/>
    </row>
    <row r="4139">
      <c r="A4139" s="72" t="n"/>
    </row>
    <row r="4140">
      <c r="A4140" s="72" t="n"/>
    </row>
    <row r="4141">
      <c r="A4141" s="72" t="n"/>
    </row>
    <row r="4142">
      <c r="A4142" s="72" t="n"/>
    </row>
    <row r="4143">
      <c r="A4143" s="72" t="n"/>
    </row>
    <row r="4144">
      <c r="A4144" s="72" t="n"/>
    </row>
    <row r="4145">
      <c r="A4145" s="72" t="n"/>
    </row>
    <row r="4146">
      <c r="A4146" s="72" t="n"/>
    </row>
    <row r="4147">
      <c r="A4147" s="71" t="n"/>
    </row>
    <row r="4149">
      <c r="A4149" s="71" t="n"/>
    </row>
    <row r="4151">
      <c r="A4151" s="71" t="n"/>
    </row>
    <row r="4153">
      <c r="A4153" s="71" t="n"/>
    </row>
    <row r="4155">
      <c r="A4155" s="71" t="n"/>
    </row>
    <row r="4157">
      <c r="A4157" s="71" t="n"/>
    </row>
    <row r="4158">
      <c r="A4158" s="71" t="n"/>
    </row>
    <row r="4159">
      <c r="A4159" s="72" t="n"/>
      <c r="B4159" s="73" t="n"/>
      <c r="C4159" s="88" t="n"/>
    </row>
    <row r="4160">
      <c r="A4160" s="72" t="n"/>
    </row>
    <row r="4161">
      <c r="A4161" s="72" t="n"/>
    </row>
    <row r="4162">
      <c r="A4162" s="72" t="n"/>
      <c r="B4162" s="73" t="n"/>
      <c r="C4162" s="88" t="n"/>
      <c r="D4162" s="78" t="n"/>
    </row>
    <row r="4163">
      <c r="A4163" s="72" t="n"/>
    </row>
    <row r="4164">
      <c r="A4164" s="72" t="n"/>
    </row>
    <row r="4165">
      <c r="A4165" s="72" t="n"/>
      <c r="B4165" s="73" t="n"/>
      <c r="C4165" s="88" t="n"/>
    </row>
    <row r="4166">
      <c r="A4166" s="72" t="n"/>
    </row>
    <row r="4167">
      <c r="A4167" s="72" t="n"/>
    </row>
    <row r="4168">
      <c r="A4168" s="72" t="n"/>
    </row>
    <row r="4169">
      <c r="A4169" s="72" t="n"/>
    </row>
    <row r="4170">
      <c r="A4170" s="72" t="n"/>
    </row>
    <row r="4171">
      <c r="A4171" s="72" t="n"/>
      <c r="B4171" s="73" t="n"/>
      <c r="C4171" s="88" t="n"/>
    </row>
    <row r="4172">
      <c r="A4172" s="72" t="n"/>
    </row>
    <row r="4173">
      <c r="A4173" s="72" t="n"/>
      <c r="B4173" s="73" t="n"/>
      <c r="C4173" s="88" t="n"/>
    </row>
    <row r="4174">
      <c r="A4174" s="72" t="n"/>
    </row>
    <row r="4175">
      <c r="A4175" s="72" t="n"/>
    </row>
    <row r="4176">
      <c r="A4176" s="72" t="n"/>
      <c r="B4176" s="73" t="n"/>
      <c r="C4176" s="88" t="n"/>
      <c r="D4176" s="78" t="n"/>
    </row>
    <row r="4177">
      <c r="A4177" s="72" t="n"/>
    </row>
    <row r="4178">
      <c r="A4178" s="72" t="n"/>
    </row>
    <row r="4179">
      <c r="A4179" s="71" t="n"/>
    </row>
    <row r="4181">
      <c r="A4181" s="71" t="n"/>
    </row>
    <row r="4183">
      <c r="A4183" s="71" t="n"/>
    </row>
    <row r="4185">
      <c r="A4185" s="71" t="n"/>
    </row>
    <row r="4187">
      <c r="A4187" s="71" t="n"/>
    </row>
    <row r="4189">
      <c r="A4189" s="71" t="n"/>
    </row>
    <row r="4191">
      <c r="A4191" s="71" t="n"/>
    </row>
    <row r="4193">
      <c r="A4193" s="71" t="n"/>
    </row>
    <row r="4195">
      <c r="A4195" s="71" t="n"/>
    </row>
    <row r="4197">
      <c r="A4197" s="71" t="n"/>
    </row>
    <row r="4199">
      <c r="A4199" s="71" t="n"/>
    </row>
    <row r="4201">
      <c r="A4201" s="71" t="n"/>
    </row>
    <row r="4203">
      <c r="A4203" s="71" t="n"/>
    </row>
    <row r="4205">
      <c r="A4205" s="71" t="n"/>
    </row>
    <row r="4207">
      <c r="A4207" s="71" t="n"/>
    </row>
    <row r="4209">
      <c r="A4209" s="71" t="n"/>
    </row>
    <row r="4211">
      <c r="A4211" s="71" t="n"/>
    </row>
    <row r="4213">
      <c r="A4213" s="71" t="n"/>
    </row>
    <row r="4215">
      <c r="A4215" s="71" t="n"/>
    </row>
    <row r="4217">
      <c r="A4217" s="71" t="n"/>
    </row>
    <row r="4219">
      <c r="A4219" s="71" t="n"/>
    </row>
    <row r="4221">
      <c r="A4221" s="71" t="n"/>
    </row>
    <row r="4223">
      <c r="A4223" s="71" t="n"/>
    </row>
    <row r="4225">
      <c r="A4225" s="71" t="n"/>
    </row>
    <row r="4227">
      <c r="A4227" s="71" t="n"/>
    </row>
    <row r="4229">
      <c r="A4229" s="71" t="n"/>
    </row>
    <row r="4231">
      <c r="A4231" s="71" t="n"/>
    </row>
    <row r="4233">
      <c r="A4233" s="71" t="n"/>
    </row>
    <row r="4235">
      <c r="A4235" s="71" t="n"/>
    </row>
    <row r="4237">
      <c r="A4237" s="71" t="n"/>
    </row>
    <row r="4239">
      <c r="A4239" s="71" t="n"/>
    </row>
    <row r="4241">
      <c r="A4241" s="71" t="n"/>
    </row>
    <row r="4243">
      <c r="A4243" s="71" t="n"/>
    </row>
    <row r="4245">
      <c r="A4245" s="71" t="n"/>
    </row>
    <row r="4247">
      <c r="A4247" s="71" t="n"/>
    </row>
    <row r="4249">
      <c r="A4249" s="71" t="n"/>
    </row>
    <row r="4251">
      <c r="A4251" s="71" t="n"/>
    </row>
    <row r="4253">
      <c r="A4253" s="71" t="n"/>
    </row>
    <row r="4255">
      <c r="A4255" s="71" t="n"/>
    </row>
    <row r="4257">
      <c r="A4257" s="71" t="n"/>
    </row>
    <row r="4259">
      <c r="A4259" s="71" t="n"/>
    </row>
    <row r="4261">
      <c r="A4261" s="71" t="n"/>
    </row>
    <row r="4263">
      <c r="A4263" s="71" t="n"/>
    </row>
    <row r="4265">
      <c r="A4265" s="71" t="n"/>
    </row>
    <row r="4267">
      <c r="A4267" s="71" t="n"/>
    </row>
    <row r="4269">
      <c r="A4269" s="71" t="n"/>
    </row>
    <row r="4271">
      <c r="A4271" s="71" t="n"/>
    </row>
    <row r="4273">
      <c r="A4273" s="71" t="n"/>
    </row>
    <row r="4275">
      <c r="A4275" s="71" t="n"/>
    </row>
    <row r="4277">
      <c r="A4277" s="71" t="n"/>
    </row>
    <row r="4279">
      <c r="A4279" s="71" t="n"/>
    </row>
    <row r="4281">
      <c r="A4281" s="71" t="n"/>
    </row>
    <row r="4283">
      <c r="A4283" s="71" t="n"/>
    </row>
    <row r="4285">
      <c r="A4285" s="71" t="n"/>
    </row>
    <row r="4287">
      <c r="A4287" s="71" t="n"/>
    </row>
    <row r="4289">
      <c r="A4289" s="71" t="n"/>
    </row>
    <row r="4291">
      <c r="A4291" s="71" t="n"/>
    </row>
    <row r="4293">
      <c r="A4293" s="71" t="n"/>
    </row>
    <row r="4295">
      <c r="A4295" s="71" t="n"/>
    </row>
    <row r="4297">
      <c r="A4297" s="71" t="n"/>
    </row>
    <row r="4299">
      <c r="A4299" s="71" t="n"/>
    </row>
    <row r="4301">
      <c r="A4301" s="71" t="n"/>
    </row>
    <row r="4303">
      <c r="A4303" s="71" t="n"/>
    </row>
    <row r="4305">
      <c r="A4305" s="71" t="n"/>
    </row>
    <row r="4307">
      <c r="A4307" s="71" t="n"/>
    </row>
    <row r="4308">
      <c r="A4308" s="71" t="n"/>
    </row>
    <row r="4309">
      <c r="A4309" s="72" t="n"/>
      <c r="B4309" s="73" t="n"/>
      <c r="C4309" s="88" t="n"/>
    </row>
    <row r="4310">
      <c r="A4310" s="72" t="n"/>
    </row>
    <row r="4311">
      <c r="A4311" s="71" t="n"/>
    </row>
    <row r="4313">
      <c r="A4313" s="71" t="n"/>
    </row>
    <row r="4315">
      <c r="A4315" s="71" t="n"/>
    </row>
    <row r="4317">
      <c r="A4317" s="71" t="n"/>
    </row>
    <row r="4319">
      <c r="A4319" s="71" t="n"/>
    </row>
    <row r="4321">
      <c r="A4321" s="71" t="n"/>
    </row>
    <row r="4323">
      <c r="A4323" s="71" t="n"/>
    </row>
    <row r="4325">
      <c r="A4325" s="71" t="n"/>
    </row>
    <row r="4327">
      <c r="A4327" s="71" t="n"/>
    </row>
    <row r="4329">
      <c r="A4329" s="71" t="n"/>
    </row>
    <row r="4331">
      <c r="A4331" s="71" t="n"/>
    </row>
    <row r="4333">
      <c r="A4333" s="71" t="n"/>
    </row>
    <row r="4335">
      <c r="A4335" s="71" t="n"/>
    </row>
    <row r="4337">
      <c r="A4337" s="71" t="n"/>
    </row>
    <row r="4339">
      <c r="A4339" s="71" t="n"/>
    </row>
    <row r="4341">
      <c r="A4341" s="71" t="n"/>
    </row>
    <row r="4343">
      <c r="A4343" s="71" t="n"/>
    </row>
    <row r="4345">
      <c r="A4345" s="71" t="n"/>
    </row>
    <row r="4347">
      <c r="A4347" s="71" t="n"/>
    </row>
    <row r="4349">
      <c r="A4349" s="71" t="n"/>
    </row>
    <row r="4351">
      <c r="A4351" s="71" t="n"/>
    </row>
    <row r="4353">
      <c r="A4353" s="71" t="n"/>
    </row>
    <row r="4355">
      <c r="A4355" s="71" t="n"/>
    </row>
    <row r="4357">
      <c r="A4357" s="71" t="n"/>
    </row>
    <row r="4359">
      <c r="A4359" s="71" t="n"/>
    </row>
    <row r="4361">
      <c r="A4361" s="71" t="n"/>
    </row>
    <row r="4363">
      <c r="A4363" s="71" t="n"/>
    </row>
    <row r="4365">
      <c r="A4365" s="71" t="n"/>
    </row>
    <row r="4367">
      <c r="A4367" s="71" t="n"/>
    </row>
    <row r="4369">
      <c r="A4369" s="71" t="n"/>
    </row>
    <row r="4371">
      <c r="A4371" s="71" t="n"/>
    </row>
    <row r="4373">
      <c r="A4373" s="71" t="n"/>
    </row>
    <row r="4375">
      <c r="A4375" s="71" t="n"/>
    </row>
    <row r="4377">
      <c r="A4377" s="71" t="n"/>
    </row>
    <row r="4379">
      <c r="A4379" s="71" t="n"/>
    </row>
    <row r="4381">
      <c r="A4381" s="71" t="n"/>
    </row>
    <row r="4383">
      <c r="A4383" s="71" t="n"/>
    </row>
    <row r="4385">
      <c r="A4385" s="71" t="n"/>
    </row>
    <row r="4387">
      <c r="A4387" s="71" t="n"/>
    </row>
    <row r="4389">
      <c r="A4389" s="71" t="n"/>
    </row>
    <row r="4391">
      <c r="A4391" s="71" t="n"/>
    </row>
    <row r="4393">
      <c r="A4393" s="71" t="n"/>
    </row>
    <row r="4395">
      <c r="A4395" s="71" t="n"/>
    </row>
    <row r="4397">
      <c r="A4397" s="71" t="n"/>
    </row>
    <row r="4399">
      <c r="A4399" s="71" t="n"/>
    </row>
    <row r="4401">
      <c r="A4401" s="71" t="n"/>
    </row>
    <row r="4403">
      <c r="A4403" s="71" t="n"/>
    </row>
    <row r="4405">
      <c r="A4405" s="71" t="n"/>
    </row>
    <row r="4407">
      <c r="A4407" s="71" t="n"/>
    </row>
    <row r="4409">
      <c r="A4409" s="71" t="n"/>
    </row>
    <row r="4411">
      <c r="A4411" s="71" t="n"/>
    </row>
    <row r="4413">
      <c r="A4413" s="71" t="n"/>
    </row>
    <row r="4415">
      <c r="A4415" s="71" t="n"/>
    </row>
    <row r="4417">
      <c r="A4417" s="71" t="n"/>
    </row>
    <row r="4419">
      <c r="A4419" s="71" t="n"/>
    </row>
    <row r="4421">
      <c r="A4421" s="71" t="n"/>
    </row>
    <row r="4423">
      <c r="A4423" s="71" t="n"/>
    </row>
    <row r="4425">
      <c r="A4425" s="71" t="n"/>
    </row>
    <row r="4427">
      <c r="A4427" s="71" t="n"/>
    </row>
    <row r="4429">
      <c r="A4429" s="71" t="n"/>
    </row>
    <row r="4431">
      <c r="A4431" s="71" t="n"/>
    </row>
    <row r="4433">
      <c r="A4433" s="71" t="n"/>
    </row>
    <row r="4435">
      <c r="A4435" s="71" t="n"/>
    </row>
    <row r="4437">
      <c r="A4437" s="71" t="n"/>
    </row>
    <row r="4439">
      <c r="A4439" s="71" t="n"/>
    </row>
    <row r="4441">
      <c r="A4441" s="71" t="n"/>
    </row>
    <row r="4443">
      <c r="A4443" s="71" t="n"/>
    </row>
    <row r="4445">
      <c r="A4445" s="71" t="n"/>
    </row>
    <row r="4447">
      <c r="A4447" s="71" t="n"/>
    </row>
    <row r="4449">
      <c r="A4449" s="71" t="n"/>
    </row>
    <row r="4451">
      <c r="A4451" s="71" t="n"/>
    </row>
    <row r="4453">
      <c r="A4453" s="71" t="n"/>
    </row>
    <row r="4455">
      <c r="A4455" s="71" t="n"/>
    </row>
    <row r="4457">
      <c r="A4457" s="71" t="n"/>
    </row>
    <row r="4459">
      <c r="A4459" s="71" t="n"/>
    </row>
    <row r="4461">
      <c r="A4461" s="71" t="n"/>
    </row>
    <row r="4463">
      <c r="A4463" s="71" t="n"/>
    </row>
    <row r="4465">
      <c r="A4465" s="71" t="n"/>
    </row>
    <row r="4467">
      <c r="A4467" s="71" t="n"/>
    </row>
    <row r="4469">
      <c r="A4469" s="71" t="n"/>
    </row>
    <row r="4471">
      <c r="A4471" s="71" t="n"/>
    </row>
    <row r="4473">
      <c r="A4473" s="71" t="n"/>
    </row>
    <row r="4475">
      <c r="A4475" s="71" t="n"/>
    </row>
    <row r="4477">
      <c r="A4477" s="71" t="n"/>
    </row>
    <row r="4479">
      <c r="A4479" s="71" t="n"/>
    </row>
    <row r="4481">
      <c r="A4481" s="71" t="n"/>
    </row>
    <row r="4482">
      <c r="A4482" s="71" t="n"/>
    </row>
    <row r="4483">
      <c r="A4483" s="72" t="n"/>
      <c r="B4483" s="73" t="n"/>
      <c r="C4483" s="88" t="n"/>
    </row>
    <row r="4484">
      <c r="A4484" s="71" t="n"/>
    </row>
    <row r="4486">
      <c r="A4486" s="71" t="n"/>
    </row>
    <row r="4488">
      <c r="A4488" s="71" t="n"/>
    </row>
    <row r="4490">
      <c r="A4490" s="71" t="n"/>
    </row>
    <row r="4492">
      <c r="A4492" s="71" t="n"/>
    </row>
    <row r="4494">
      <c r="A4494" s="71" t="n"/>
    </row>
    <row r="4496">
      <c r="A4496" s="71" t="n"/>
    </row>
    <row r="4498">
      <c r="A4498" s="71" t="n"/>
    </row>
    <row r="4500">
      <c r="A4500" s="71" t="n"/>
    </row>
    <row r="4502">
      <c r="A4502" s="71" t="n"/>
    </row>
    <row r="4504">
      <c r="A4504" s="71" t="n"/>
    </row>
    <row r="4506">
      <c r="A4506" s="71" t="n"/>
    </row>
    <row r="4508">
      <c r="A4508" s="71" t="n"/>
    </row>
    <row r="4510">
      <c r="A4510" s="71" t="n"/>
    </row>
    <row r="4512">
      <c r="A4512" s="71" t="n"/>
    </row>
    <row r="4514">
      <c r="A4514" s="71" t="n"/>
    </row>
    <row r="4516">
      <c r="A4516" s="71" t="n"/>
    </row>
    <row r="4518">
      <c r="A4518" s="71" t="n"/>
    </row>
    <row r="4520">
      <c r="A4520" s="71" t="n"/>
    </row>
    <row r="4522">
      <c r="A4522" s="71" t="n"/>
    </row>
    <row r="4524">
      <c r="A4524" s="71" t="n"/>
    </row>
    <row r="4526">
      <c r="A4526" s="71" t="n"/>
    </row>
    <row r="4528">
      <c r="A4528" s="71" t="n"/>
    </row>
    <row r="4530">
      <c r="A4530" s="71" t="n"/>
    </row>
    <row r="4532">
      <c r="A4532" s="71" t="n"/>
    </row>
    <row r="4534">
      <c r="A4534" s="71" t="n"/>
    </row>
    <row r="4536">
      <c r="A4536" s="71" t="n"/>
    </row>
    <row r="4538">
      <c r="A4538" s="71" t="n"/>
    </row>
    <row r="4540">
      <c r="A4540" s="71" t="n"/>
    </row>
    <row r="4542">
      <c r="A4542" s="71" t="n"/>
    </row>
    <row r="4544">
      <c r="A4544" s="71" t="n"/>
    </row>
    <row r="4546">
      <c r="A4546" s="71" t="n"/>
    </row>
    <row r="4548">
      <c r="A4548" s="71" t="n"/>
    </row>
    <row r="4550">
      <c r="A4550" s="71" t="n"/>
    </row>
    <row r="4552">
      <c r="A4552" s="71" t="n"/>
    </row>
    <row r="4554">
      <c r="A4554" s="71" t="n"/>
    </row>
    <row r="4556">
      <c r="A4556" s="71" t="n"/>
    </row>
    <row r="4558">
      <c r="A4558" s="71" t="n"/>
    </row>
    <row r="4560">
      <c r="A4560" s="71" t="n"/>
    </row>
    <row r="4562">
      <c r="A4562" s="71" t="n"/>
    </row>
    <row r="4564">
      <c r="A4564" s="71" t="n"/>
    </row>
    <row r="4566">
      <c r="A4566" s="71" t="n"/>
    </row>
    <row r="4568">
      <c r="A4568" s="71" t="n"/>
    </row>
    <row r="4570">
      <c r="A4570" s="71" t="n"/>
    </row>
    <row r="4572">
      <c r="A4572" s="71" t="n"/>
    </row>
    <row r="4574">
      <c r="A4574" s="71" t="n"/>
    </row>
    <row r="4576">
      <c r="A4576" s="71" t="n"/>
    </row>
    <row r="4578">
      <c r="A4578" s="71" t="n"/>
    </row>
    <row r="4580">
      <c r="A4580" s="71" t="n"/>
    </row>
    <row r="4582">
      <c r="A4582" s="71" t="n"/>
    </row>
    <row r="4584">
      <c r="A4584" s="71" t="n"/>
    </row>
    <row r="4586">
      <c r="A4586" s="71" t="n"/>
    </row>
    <row r="4588">
      <c r="A4588" s="71" t="n"/>
    </row>
    <row r="4589">
      <c r="A4589" s="71" t="n"/>
    </row>
    <row r="4590">
      <c r="A4590" s="72" t="n"/>
      <c r="B4590" s="73" t="n"/>
      <c r="C4590" s="88" t="n"/>
      <c r="D4590" s="78" t="n"/>
    </row>
    <row r="4591">
      <c r="A4591" s="72" t="n"/>
    </row>
    <row r="4592">
      <c r="A4592" s="72" t="n"/>
      <c r="B4592" s="73" t="n"/>
      <c r="C4592" s="88" t="n"/>
      <c r="D4592" s="78" t="n"/>
    </row>
    <row r="4593">
      <c r="A4593" s="72" t="n"/>
    </row>
    <row r="4594">
      <c r="A4594" s="72" t="n"/>
    </row>
    <row r="4595">
      <c r="A4595" s="72" t="n"/>
      <c r="B4595" s="73" t="n"/>
      <c r="C4595" s="88" t="n"/>
    </row>
    <row r="4596">
      <c r="A4596" s="72" t="n"/>
    </row>
    <row r="4597">
      <c r="A4597" s="72" t="n"/>
    </row>
    <row r="4598">
      <c r="A4598" s="72" t="n"/>
      <c r="B4598" s="73" t="n"/>
      <c r="C4598" s="88" t="n"/>
    </row>
    <row r="4599">
      <c r="A4599" s="72" t="n"/>
    </row>
    <row r="4600">
      <c r="A4600" s="72" t="n"/>
      <c r="B4600" s="73" t="n"/>
      <c r="C4600" s="88" t="n"/>
    </row>
    <row r="4601">
      <c r="A4601" s="72" t="n"/>
    </row>
    <row r="4602">
      <c r="A4602" s="72" t="n"/>
      <c r="B4602" s="73" t="n"/>
      <c r="C4602" s="88" t="n"/>
      <c r="D4602" s="78" t="n"/>
    </row>
    <row r="4603">
      <c r="A4603" s="72" t="n"/>
    </row>
    <row r="4604">
      <c r="A4604" s="72" t="n"/>
      <c r="B4604" s="73" t="n"/>
      <c r="C4604" s="88" t="n"/>
      <c r="D4604" s="78" t="n"/>
    </row>
    <row r="4605">
      <c r="A4605" s="72" t="n"/>
    </row>
    <row r="4606">
      <c r="A4606" s="72" t="n"/>
    </row>
    <row r="4607">
      <c r="A4607" s="72" t="n"/>
    </row>
    <row r="4608">
      <c r="A4608" s="71" t="n"/>
    </row>
    <row r="4610">
      <c r="A4610" s="71" t="n"/>
    </row>
    <row r="4612">
      <c r="A4612" s="71" t="n"/>
    </row>
    <row r="4614">
      <c r="A4614" s="71" t="n"/>
    </row>
    <row r="4616">
      <c r="A4616" s="71" t="n"/>
    </row>
    <row r="4617">
      <c r="A4617" s="71" t="n"/>
    </row>
    <row r="4618">
      <c r="A4618" s="72" t="n"/>
      <c r="B4618" s="73" t="n"/>
      <c r="C4618" s="88" t="n"/>
      <c r="D4618" s="78" t="n"/>
    </row>
    <row r="4619">
      <c r="A4619" s="72" t="n"/>
    </row>
    <row r="4620">
      <c r="A4620" s="72" t="n"/>
    </row>
    <row r="4621">
      <c r="A4621" s="72" t="n"/>
    </row>
    <row r="4622">
      <c r="A4622" s="72" t="n"/>
      <c r="B4622" s="73" t="n"/>
      <c r="C4622" s="88" t="n"/>
    </row>
    <row r="4623">
      <c r="A4623" s="72" t="n"/>
    </row>
    <row r="4624">
      <c r="A4624" s="72" t="n"/>
    </row>
    <row r="4625">
      <c r="A4625" s="72" t="n"/>
      <c r="B4625" s="73" t="n"/>
      <c r="C4625" s="88" t="n"/>
    </row>
    <row r="4626">
      <c r="A4626" s="72" t="n"/>
    </row>
    <row r="4627">
      <c r="A4627" s="72" t="n"/>
    </row>
    <row r="4628">
      <c r="A4628" s="72" t="n"/>
    </row>
    <row r="4629">
      <c r="A4629" s="72" t="n"/>
      <c r="B4629" s="73" t="n"/>
      <c r="C4629" s="88" t="n"/>
    </row>
    <row r="4630">
      <c r="A4630" s="72" t="n"/>
    </row>
    <row r="4631">
      <c r="A4631" s="72" t="n"/>
    </row>
    <row r="4632">
      <c r="A4632" s="72" t="n"/>
    </row>
    <row r="4633">
      <c r="A4633" s="71" t="n"/>
    </row>
    <row r="4635">
      <c r="A4635" s="71" t="n"/>
    </row>
    <row r="4637">
      <c r="A4637" s="71" t="n"/>
    </row>
    <row r="4639">
      <c r="A4639" s="71" t="n"/>
    </row>
    <row r="4641">
      <c r="A4641" s="71" t="n"/>
    </row>
    <row r="4643">
      <c r="A4643" s="71" t="n"/>
    </row>
    <row r="4645">
      <c r="A4645" s="71" t="n"/>
    </row>
    <row r="4647">
      <c r="A4647" s="71" t="n"/>
    </row>
    <row r="4649">
      <c r="A4649" s="71" t="n"/>
    </row>
    <row r="4651">
      <c r="A4651" s="71" t="n"/>
    </row>
    <row r="4653">
      <c r="A4653" s="71" t="n"/>
    </row>
    <row r="4655">
      <c r="A4655" s="71" t="n"/>
    </row>
    <row r="4657">
      <c r="A4657" s="71" t="n"/>
    </row>
    <row r="4659">
      <c r="A4659" s="71" t="n"/>
    </row>
    <row r="4661">
      <c r="A4661" s="71" t="n"/>
    </row>
    <row r="4663">
      <c r="A4663" s="71" t="n"/>
    </row>
    <row r="4665">
      <c r="A4665" s="71" t="n"/>
    </row>
    <row r="4667">
      <c r="A4667" s="71" t="n"/>
    </row>
    <row r="4669">
      <c r="A4669" s="71" t="n"/>
    </row>
    <row r="4671">
      <c r="A4671" s="71" t="n"/>
    </row>
    <row r="4673">
      <c r="A4673" s="71" t="n"/>
    </row>
    <row r="4675">
      <c r="A4675" s="71" t="n"/>
    </row>
    <row r="4677">
      <c r="A4677" s="71" t="n"/>
    </row>
    <row r="4679">
      <c r="A4679" s="71" t="n"/>
    </row>
    <row r="4681">
      <c r="A4681" s="71" t="n"/>
    </row>
    <row r="4683">
      <c r="A4683" s="71" t="n"/>
    </row>
    <row r="4685">
      <c r="A4685" s="71" t="n"/>
    </row>
    <row r="4687">
      <c r="A4687" s="71" t="n"/>
    </row>
    <row r="4689">
      <c r="A4689" s="71" t="n"/>
    </row>
    <row r="4691">
      <c r="A4691" s="71" t="n"/>
    </row>
    <row r="4693">
      <c r="A4693" s="71" t="n"/>
    </row>
    <row r="4695">
      <c r="A4695" s="71" t="n"/>
    </row>
    <row r="4697">
      <c r="A4697" s="71" t="n"/>
    </row>
    <row r="4699">
      <c r="A4699" s="71" t="n"/>
    </row>
    <row r="4701">
      <c r="A4701" s="71" t="n"/>
    </row>
    <row r="4703">
      <c r="A4703" s="71" t="n"/>
    </row>
    <row r="4705">
      <c r="A4705" s="71" t="n"/>
    </row>
    <row r="4707">
      <c r="A4707" s="71" t="n"/>
    </row>
    <row r="4709">
      <c r="A4709" s="71" t="n"/>
    </row>
    <row r="4711">
      <c r="A4711" s="71" t="n"/>
    </row>
    <row r="4713">
      <c r="A4713" s="71" t="n"/>
    </row>
    <row r="4715">
      <c r="A4715" s="71" t="n"/>
    </row>
    <row r="4717">
      <c r="A4717" s="71" t="n"/>
    </row>
    <row r="4719">
      <c r="A4719" s="71" t="n"/>
    </row>
    <row r="4721">
      <c r="A4721" s="71" t="n"/>
    </row>
    <row r="4723">
      <c r="A4723" s="71" t="n"/>
    </row>
    <row r="4725">
      <c r="A4725" s="71" t="n"/>
    </row>
    <row r="4727">
      <c r="A4727" s="71" t="n"/>
    </row>
    <row r="4729">
      <c r="A4729" s="71" t="n"/>
    </row>
    <row r="4731">
      <c r="A4731" s="71" t="n"/>
    </row>
    <row r="4733">
      <c r="A4733" s="71" t="n"/>
    </row>
    <row r="4735">
      <c r="A4735" s="71" t="n"/>
    </row>
    <row r="4737">
      <c r="A4737" s="71" t="n"/>
    </row>
    <row r="4739">
      <c r="A4739" s="71" t="n"/>
    </row>
    <row r="4741">
      <c r="A4741" s="71" t="n"/>
    </row>
    <row r="4743">
      <c r="A4743" s="71" t="n"/>
    </row>
    <row r="4745">
      <c r="A4745" s="71" t="n"/>
    </row>
    <row r="4747">
      <c r="A4747" s="71" t="n"/>
    </row>
    <row r="4749">
      <c r="A4749" s="71" t="n"/>
    </row>
    <row r="4751">
      <c r="A4751" s="71" t="n"/>
    </row>
    <row r="4753">
      <c r="A4753" s="71" t="n"/>
    </row>
    <row r="4755">
      <c r="A4755" s="71" t="n"/>
    </row>
    <row r="4757">
      <c r="A4757" s="71" t="n"/>
    </row>
    <row r="4759">
      <c r="A4759" s="71" t="n"/>
    </row>
    <row r="4761">
      <c r="A4761" s="71" t="n"/>
    </row>
    <row r="4763">
      <c r="A4763" s="71" t="n"/>
    </row>
    <row r="4765">
      <c r="A4765" s="71" t="n"/>
    </row>
    <row r="4767">
      <c r="A4767" s="71" t="n"/>
    </row>
    <row r="4769">
      <c r="A4769" s="71" t="n"/>
    </row>
    <row r="4771">
      <c r="A4771" s="71" t="n"/>
    </row>
    <row r="4773">
      <c r="A4773" s="71" t="n"/>
    </row>
    <row r="4775">
      <c r="A4775" s="71" t="n"/>
    </row>
    <row r="4777">
      <c r="A4777" s="71" t="n"/>
    </row>
    <row r="4779">
      <c r="A4779" s="71" t="n"/>
    </row>
    <row r="4781">
      <c r="A4781" s="71" t="n"/>
    </row>
    <row r="4783">
      <c r="A4783" s="71" t="n"/>
    </row>
    <row r="4785">
      <c r="A4785" s="71" t="n"/>
    </row>
    <row r="4787">
      <c r="A4787" s="71" t="n"/>
    </row>
    <row r="4789">
      <c r="A4789" s="71" t="n"/>
    </row>
    <row r="4791">
      <c r="A4791" s="71" t="n"/>
    </row>
    <row r="4793">
      <c r="A4793" s="71" t="n"/>
    </row>
    <row r="4795">
      <c r="A4795" s="71" t="n"/>
    </row>
    <row r="4797">
      <c r="A4797" s="71" t="n"/>
    </row>
    <row r="4799">
      <c r="A4799" s="71" t="n"/>
    </row>
    <row r="4801">
      <c r="A4801" s="71" t="n"/>
    </row>
    <row r="4803">
      <c r="A4803" s="71" t="n"/>
    </row>
    <row r="4805">
      <c r="A4805" s="71" t="n"/>
    </row>
    <row r="4807">
      <c r="A4807" s="71" t="n"/>
    </row>
    <row r="4809">
      <c r="A4809" s="71" t="n"/>
    </row>
    <row r="4811">
      <c r="A4811" s="71" t="n"/>
    </row>
    <row r="4813">
      <c r="A4813" s="71" t="n"/>
    </row>
    <row r="4815">
      <c r="A4815" s="71" t="n"/>
    </row>
    <row r="4817">
      <c r="A4817" s="71" t="n"/>
    </row>
    <row r="4819">
      <c r="A4819" s="71" t="n"/>
    </row>
    <row r="4821">
      <c r="A4821" s="71" t="n"/>
    </row>
    <row r="4823">
      <c r="A4823" s="71" t="n"/>
    </row>
    <row r="4825">
      <c r="A4825" s="71" t="n"/>
    </row>
    <row r="4827">
      <c r="A4827" s="71" t="n"/>
    </row>
    <row r="4829">
      <c r="A4829" s="71" t="n"/>
    </row>
    <row r="4831">
      <c r="A4831" s="71" t="n"/>
    </row>
    <row r="4833">
      <c r="A4833" s="71" t="n"/>
    </row>
    <row r="4835">
      <c r="A4835" s="71" t="n"/>
    </row>
    <row r="4837">
      <c r="A4837" s="71" t="n"/>
    </row>
    <row r="4839">
      <c r="A4839" s="71" t="n"/>
    </row>
    <row r="4841">
      <c r="A4841" s="71" t="n"/>
    </row>
    <row r="4843">
      <c r="A4843" s="71" t="n"/>
    </row>
    <row r="4845">
      <c r="A4845" s="71" t="n"/>
    </row>
    <row r="4847">
      <c r="A4847" s="71" t="n"/>
    </row>
    <row r="4849">
      <c r="A4849" s="71" t="n"/>
    </row>
    <row r="4851">
      <c r="A4851" s="71" t="n"/>
    </row>
    <row r="4853">
      <c r="A4853" s="71" t="n"/>
    </row>
    <row r="4855">
      <c r="A4855" s="71" t="n"/>
    </row>
    <row r="4857">
      <c r="A4857" s="71" t="n"/>
    </row>
    <row r="4859">
      <c r="A4859" s="71" t="n"/>
    </row>
    <row r="4861">
      <c r="A4861" s="71" t="n"/>
    </row>
    <row r="4863">
      <c r="A4863" s="71" t="n"/>
    </row>
    <row r="4865">
      <c r="A4865" s="71" t="n"/>
    </row>
    <row r="4867">
      <c r="A4867" s="71" t="n"/>
    </row>
    <row r="4869">
      <c r="A4869" s="71" t="n"/>
    </row>
    <row r="4871">
      <c r="A4871" s="71" t="n"/>
    </row>
    <row r="4873">
      <c r="A4873" s="71" t="n"/>
    </row>
    <row r="4875">
      <c r="A4875" s="71" t="n"/>
    </row>
    <row r="4877">
      <c r="A4877" s="71" t="n"/>
    </row>
    <row r="4879">
      <c r="A4879" s="71" t="n"/>
    </row>
    <row r="4881">
      <c r="A4881" s="71" t="n"/>
    </row>
    <row r="4883">
      <c r="A4883" s="71" t="n"/>
    </row>
    <row r="4885">
      <c r="A4885" s="71" t="n"/>
    </row>
    <row r="4887">
      <c r="A4887" s="71" t="n"/>
    </row>
    <row r="4889">
      <c r="A4889" s="71" t="n"/>
    </row>
    <row r="4891">
      <c r="A4891" s="71" t="n"/>
    </row>
    <row r="4893">
      <c r="A4893" s="71" t="n"/>
    </row>
    <row r="4895">
      <c r="A4895" s="71" t="n"/>
    </row>
    <row r="4897">
      <c r="A4897" s="71" t="n"/>
    </row>
    <row r="4899">
      <c r="A4899" s="71" t="n"/>
    </row>
    <row r="4901">
      <c r="A4901" s="71" t="n"/>
    </row>
    <row r="4903">
      <c r="A4903" s="71" t="n"/>
    </row>
    <row r="4905">
      <c r="A4905" s="71" t="n"/>
    </row>
    <row r="4907">
      <c r="A4907" s="71" t="n"/>
    </row>
    <row r="4909">
      <c r="A4909" s="71" t="n"/>
    </row>
    <row r="4911">
      <c r="A4911" s="71" t="n"/>
    </row>
    <row r="4913">
      <c r="A4913" s="71" t="n"/>
    </row>
    <row r="4915">
      <c r="A4915" s="71" t="n"/>
    </row>
    <row r="4917">
      <c r="A4917" s="71" t="n"/>
    </row>
    <row r="4919">
      <c r="A4919" s="71" t="n"/>
    </row>
    <row r="4921">
      <c r="A4921" s="71" t="n"/>
    </row>
    <row r="4923">
      <c r="A4923" s="71" t="n"/>
    </row>
    <row r="4925">
      <c r="A4925" s="71" t="n"/>
    </row>
    <row r="4927">
      <c r="A4927" s="71" t="n"/>
    </row>
    <row r="4929">
      <c r="A4929" s="71" t="n"/>
    </row>
    <row r="4931">
      <c r="A4931" s="71" t="n"/>
    </row>
    <row r="4933">
      <c r="A4933" s="71" t="n"/>
    </row>
    <row r="4935">
      <c r="A4935" s="71" t="n"/>
    </row>
    <row r="4937">
      <c r="A4937" s="71" t="n"/>
    </row>
    <row r="4939">
      <c r="A4939" s="71" t="n"/>
    </row>
    <row r="4941">
      <c r="A4941" s="71" t="n"/>
    </row>
    <row r="4943">
      <c r="A4943" s="71" t="n"/>
    </row>
    <row r="4945">
      <c r="A4945" s="71" t="n"/>
    </row>
    <row r="4947">
      <c r="A4947" s="71" t="n"/>
    </row>
    <row r="4949">
      <c r="A4949" s="71" t="n"/>
    </row>
    <row r="4951">
      <c r="A4951" s="71" t="n"/>
    </row>
    <row r="4953">
      <c r="A4953" s="71" t="n"/>
    </row>
    <row r="4955">
      <c r="A4955" s="71" t="n"/>
    </row>
    <row r="4957">
      <c r="A4957" s="71" t="n"/>
    </row>
    <row r="4959">
      <c r="A4959" s="71" t="n"/>
    </row>
    <row r="4961">
      <c r="A4961" s="71" t="n"/>
    </row>
    <row r="4963">
      <c r="A4963" s="71" t="n"/>
    </row>
    <row r="4965">
      <c r="A4965" s="71" t="n"/>
    </row>
    <row r="4967">
      <c r="A4967" s="71" t="n"/>
    </row>
    <row r="4969">
      <c r="A4969" s="71" t="n"/>
    </row>
    <row r="4971">
      <c r="A4971" s="71" t="n"/>
    </row>
    <row r="4973">
      <c r="A4973" s="71" t="n"/>
    </row>
    <row r="4975">
      <c r="A4975" s="71" t="n"/>
    </row>
    <row r="4977">
      <c r="A4977" s="71" t="n"/>
    </row>
    <row r="4979">
      <c r="A4979" s="71" t="n"/>
    </row>
    <row r="4981">
      <c r="A4981" s="71" t="n"/>
    </row>
    <row r="4983">
      <c r="A4983" s="71" t="n"/>
    </row>
    <row r="4985">
      <c r="A4985" s="71" t="n"/>
    </row>
    <row r="4987">
      <c r="A4987" s="71" t="n"/>
    </row>
    <row r="4989">
      <c r="A4989" s="71" t="n"/>
    </row>
    <row r="4991">
      <c r="A4991" s="71" t="n"/>
    </row>
    <row r="4993">
      <c r="A4993" s="71" t="n"/>
    </row>
    <row r="4995">
      <c r="A4995" s="71" t="n"/>
    </row>
    <row r="4997">
      <c r="A4997" s="71" t="n"/>
    </row>
    <row r="4999">
      <c r="A4999" s="71" t="n"/>
    </row>
    <row r="5001">
      <c r="A5001" s="71" t="n"/>
    </row>
    <row r="5003">
      <c r="A5003" s="71" t="n"/>
    </row>
    <row r="5005">
      <c r="A5005" s="71" t="n"/>
    </row>
    <row r="5007">
      <c r="A5007" s="71" t="n"/>
    </row>
    <row r="5009">
      <c r="A5009" s="71" t="n"/>
    </row>
    <row r="5011">
      <c r="A5011" s="71" t="n"/>
    </row>
    <row r="5013">
      <c r="A5013" s="71" t="n"/>
    </row>
    <row r="5015">
      <c r="A5015" s="71" t="n"/>
    </row>
    <row r="5017">
      <c r="A5017" s="71" t="n"/>
    </row>
    <row r="5019">
      <c r="A5019" s="71" t="n"/>
    </row>
    <row r="5021">
      <c r="A5021" s="71" t="n"/>
    </row>
    <row r="5023">
      <c r="A5023" s="71" t="n"/>
    </row>
    <row r="5025">
      <c r="A5025" s="71" t="n"/>
    </row>
    <row r="5027">
      <c r="A5027" s="71" t="n"/>
    </row>
    <row r="5029">
      <c r="A5029" s="71" t="n"/>
    </row>
    <row r="5031">
      <c r="A5031" s="71" t="n"/>
    </row>
    <row r="5033">
      <c r="A5033" s="71" t="n"/>
    </row>
    <row r="5035">
      <c r="A5035" s="71" t="n"/>
    </row>
    <row r="5037">
      <c r="A5037" s="71" t="n"/>
    </row>
    <row r="5039">
      <c r="A5039" s="71" t="n"/>
    </row>
    <row r="5041">
      <c r="A5041" s="71" t="n"/>
    </row>
    <row r="5043">
      <c r="A5043" s="71" t="n"/>
    </row>
    <row r="5045">
      <c r="A5045" s="71" t="n"/>
    </row>
    <row r="5047">
      <c r="A5047" s="71" t="n"/>
    </row>
    <row r="5049">
      <c r="A5049" s="71" t="n"/>
    </row>
    <row r="5051">
      <c r="A5051" s="71" t="n"/>
    </row>
    <row r="5053">
      <c r="A5053" s="71" t="n"/>
    </row>
    <row r="5055">
      <c r="A5055" s="71" t="n"/>
    </row>
    <row r="5057">
      <c r="A5057" s="71" t="n"/>
    </row>
    <row r="5059">
      <c r="A5059" s="71" t="n"/>
    </row>
    <row r="5061">
      <c r="A5061" s="71" t="n"/>
    </row>
    <row r="5063">
      <c r="A5063" s="71" t="n"/>
    </row>
    <row r="5065">
      <c r="A5065" s="71" t="n"/>
    </row>
    <row r="5067">
      <c r="A5067" s="71" t="n"/>
    </row>
    <row r="5069">
      <c r="A5069" s="71" t="n"/>
    </row>
    <row r="5071">
      <c r="A5071" s="71" t="n"/>
    </row>
    <row r="5073">
      <c r="A5073" s="71" t="n"/>
    </row>
    <row r="5075">
      <c r="A5075" s="71" t="n"/>
    </row>
    <row r="5077">
      <c r="A5077" s="71" t="n"/>
    </row>
    <row r="5079">
      <c r="A5079" s="71" t="n"/>
    </row>
    <row r="5081">
      <c r="A5081" s="71" t="n"/>
    </row>
    <row r="5083">
      <c r="A5083" s="71" t="n"/>
    </row>
    <row r="5085">
      <c r="A5085" s="71" t="n"/>
    </row>
    <row r="5087">
      <c r="A5087" s="71" t="n"/>
    </row>
    <row r="5089">
      <c r="A5089" s="71" t="n"/>
    </row>
    <row r="5091">
      <c r="A5091" s="71" t="n"/>
    </row>
    <row r="5093">
      <c r="A5093" s="71" t="n"/>
    </row>
    <row r="5095">
      <c r="A5095" s="71" t="n"/>
    </row>
    <row r="5097">
      <c r="A5097" s="71" t="n"/>
    </row>
    <row r="5099">
      <c r="A5099" s="71" t="n"/>
    </row>
    <row r="5101">
      <c r="A5101" s="71" t="n"/>
    </row>
    <row r="5103">
      <c r="A5103" s="71" t="n"/>
    </row>
    <row r="5105">
      <c r="A5105" s="71" t="n"/>
    </row>
    <row r="5107">
      <c r="A5107" s="71" t="n"/>
    </row>
    <row r="5109">
      <c r="A5109" s="71" t="n"/>
    </row>
    <row r="5111">
      <c r="A5111" s="71" t="n"/>
    </row>
    <row r="5113">
      <c r="A5113" s="71" t="n"/>
    </row>
    <row r="5115">
      <c r="A5115" s="71" t="n"/>
    </row>
    <row r="5117">
      <c r="A5117" s="71" t="n"/>
    </row>
    <row r="5119">
      <c r="A5119" s="71" t="n"/>
    </row>
    <row r="5121">
      <c r="A5121" s="71" t="n"/>
    </row>
    <row r="5123">
      <c r="A5123" s="71" t="n"/>
    </row>
    <row r="5125">
      <c r="A5125" s="71" t="n"/>
    </row>
    <row r="5127">
      <c r="A5127" s="71" t="n"/>
    </row>
    <row r="5129">
      <c r="A5129" s="71" t="n"/>
    </row>
    <row r="5131">
      <c r="A5131" s="71" t="n"/>
    </row>
    <row r="5133">
      <c r="A5133" s="71" t="n"/>
    </row>
    <row r="5135">
      <c r="A5135" s="71" t="n"/>
    </row>
    <row r="5137">
      <c r="A5137" s="71" t="n"/>
    </row>
    <row r="5139">
      <c r="A5139" s="71" t="n"/>
    </row>
    <row r="5141">
      <c r="A5141" s="71" t="n"/>
    </row>
    <row r="5143">
      <c r="A5143" s="71" t="n"/>
    </row>
    <row r="5145">
      <c r="A5145" s="71" t="n"/>
    </row>
    <row r="5147">
      <c r="A5147" s="71" t="n"/>
    </row>
    <row r="5149">
      <c r="A5149" s="71" t="n"/>
    </row>
    <row r="5151">
      <c r="A5151" s="71" t="n"/>
    </row>
    <row r="5153">
      <c r="A5153" s="71" t="n"/>
    </row>
    <row r="5155">
      <c r="A5155" s="71" t="n"/>
    </row>
    <row r="5157">
      <c r="A5157" s="71" t="n"/>
    </row>
    <row r="5159">
      <c r="A5159" s="71" t="n"/>
    </row>
    <row r="5161">
      <c r="A5161" s="71" t="n"/>
    </row>
    <row r="5163">
      <c r="A5163" s="71" t="n"/>
    </row>
    <row r="5165">
      <c r="A5165" s="71" t="n"/>
    </row>
    <row r="5167">
      <c r="A5167" s="71" t="n"/>
    </row>
    <row r="5169">
      <c r="A5169" s="71" t="n"/>
    </row>
    <row r="5171">
      <c r="A5171" s="71" t="n"/>
    </row>
    <row r="5173">
      <c r="A5173" s="71" t="n"/>
    </row>
    <row r="5175">
      <c r="A5175" s="71" t="n"/>
    </row>
    <row r="5177">
      <c r="A5177" s="71" t="n"/>
    </row>
    <row r="5179">
      <c r="A5179" s="71" t="n"/>
    </row>
    <row r="5181">
      <c r="A5181" s="71" t="n"/>
    </row>
    <row r="5183">
      <c r="A5183" s="71" t="n"/>
    </row>
    <row r="5185">
      <c r="A5185" s="71" t="n"/>
    </row>
    <row r="5187">
      <c r="A5187" s="71" t="n"/>
    </row>
    <row r="5189">
      <c r="A5189" s="71" t="n"/>
    </row>
    <row r="5191">
      <c r="A5191" s="71" t="n"/>
    </row>
    <row r="5193">
      <c r="A5193" s="71" t="n"/>
    </row>
    <row r="5195">
      <c r="A5195" s="71" t="n"/>
    </row>
    <row r="5196">
      <c r="A5196" s="71" t="n"/>
    </row>
    <row r="5197">
      <c r="A5197" s="72" t="n"/>
      <c r="B5197" s="73" t="n"/>
      <c r="C5197" s="88" t="n"/>
    </row>
    <row r="5198">
      <c r="A5198" s="71" t="n"/>
    </row>
    <row r="5200">
      <c r="A5200" s="71" t="n"/>
    </row>
    <row r="5202">
      <c r="A5202" s="71" t="n"/>
    </row>
    <row r="5204">
      <c r="A5204" s="71" t="n"/>
    </row>
    <row r="5206">
      <c r="A5206" s="71" t="n"/>
    </row>
    <row r="5208">
      <c r="A5208" s="71" t="n"/>
    </row>
    <row r="5210">
      <c r="A5210" s="71" t="n"/>
    </row>
    <row r="5212">
      <c r="A5212" s="71" t="n"/>
    </row>
    <row r="5214">
      <c r="A5214" s="71" t="n"/>
    </row>
    <row r="5216">
      <c r="A5216" s="71" t="n"/>
    </row>
    <row r="5218">
      <c r="A5218" s="71" t="n"/>
    </row>
    <row r="5220">
      <c r="A5220" s="71" t="n"/>
    </row>
    <row r="5222">
      <c r="A5222" s="71" t="n"/>
    </row>
    <row r="5224">
      <c r="A5224" s="71" t="n"/>
    </row>
    <row r="5226">
      <c r="A5226" s="71" t="n"/>
    </row>
    <row r="5228">
      <c r="A5228" s="71" t="n"/>
    </row>
    <row r="5230">
      <c r="A5230" s="71" t="n"/>
    </row>
    <row r="5232">
      <c r="A5232" s="71" t="n"/>
    </row>
    <row r="5234">
      <c r="A5234" s="71" t="n"/>
    </row>
    <row r="5236">
      <c r="A5236" s="71" t="n"/>
    </row>
    <row r="5238">
      <c r="A5238" s="71" t="n"/>
    </row>
    <row r="5240">
      <c r="A5240" s="71" t="n"/>
    </row>
    <row r="5242">
      <c r="A5242" s="71" t="n"/>
    </row>
    <row r="5244">
      <c r="A5244" s="71" t="n"/>
    </row>
    <row r="5246">
      <c r="A5246" s="71" t="n"/>
    </row>
    <row r="5248">
      <c r="A5248" s="71" t="n"/>
    </row>
    <row r="5250">
      <c r="A5250" s="71" t="n"/>
    </row>
    <row r="5252">
      <c r="A5252" s="71" t="n"/>
    </row>
    <row r="5254">
      <c r="A5254" s="71" t="n"/>
    </row>
    <row r="5256">
      <c r="A5256" s="71" t="n"/>
    </row>
    <row r="5258">
      <c r="A5258" s="71" t="n"/>
    </row>
    <row r="5260">
      <c r="A5260" s="71" t="n"/>
    </row>
    <row r="5262">
      <c r="A5262" s="71" t="n"/>
    </row>
    <row r="5264">
      <c r="A5264" s="71" t="n"/>
    </row>
    <row r="5266">
      <c r="A5266" s="71" t="n"/>
    </row>
    <row r="5268">
      <c r="A5268" s="71" t="n"/>
    </row>
    <row r="5270">
      <c r="A5270" s="71" t="n"/>
    </row>
    <row r="5272">
      <c r="A5272" s="71" t="n"/>
    </row>
    <row r="5274">
      <c r="A5274" s="71" t="n"/>
    </row>
    <row r="5276">
      <c r="A5276" s="71" t="n"/>
    </row>
    <row r="5278">
      <c r="A5278" s="71" t="n"/>
    </row>
    <row r="5280">
      <c r="A5280" s="71" t="n"/>
    </row>
    <row r="5282">
      <c r="A5282" s="71" t="n"/>
    </row>
    <row r="5284">
      <c r="A5284" s="71" t="n"/>
    </row>
    <row r="5286">
      <c r="A5286" s="71" t="n"/>
    </row>
    <row r="5287">
      <c r="A5287" s="71" t="n"/>
    </row>
    <row r="5288">
      <c r="A5288" s="72" t="n"/>
      <c r="B5288" s="73" t="n"/>
      <c r="C5288" s="88" t="n"/>
    </row>
    <row r="5289">
      <c r="A5289" s="71" t="n"/>
    </row>
    <row r="5291">
      <c r="A5291" s="71" t="n"/>
    </row>
    <row r="5293">
      <c r="A5293" s="71" t="n"/>
    </row>
    <row r="5295">
      <c r="A5295" s="71" t="n"/>
    </row>
    <row r="5297">
      <c r="A5297" s="71" t="n"/>
    </row>
    <row r="5299">
      <c r="A5299" s="71" t="n"/>
    </row>
    <row r="5301">
      <c r="A5301" s="71" t="n"/>
    </row>
    <row r="5303">
      <c r="A5303" s="71" t="n"/>
    </row>
    <row r="5305">
      <c r="A5305" s="71" t="n"/>
    </row>
    <row r="5307">
      <c r="A5307" s="71" t="n"/>
    </row>
    <row r="5309">
      <c r="A5309" s="71" t="n"/>
    </row>
    <row r="5311">
      <c r="A5311" s="71" t="n"/>
    </row>
    <row r="5313">
      <c r="A5313" s="71" t="n"/>
    </row>
    <row r="5315">
      <c r="A5315" s="71" t="n"/>
    </row>
    <row r="5317">
      <c r="A5317" s="71" t="n"/>
    </row>
    <row r="5319">
      <c r="A5319" s="71" t="n"/>
    </row>
    <row r="5321">
      <c r="A5321" s="71" t="n"/>
    </row>
    <row r="5323">
      <c r="A5323" s="71" t="n"/>
    </row>
    <row r="5325">
      <c r="A5325" s="71" t="n"/>
    </row>
    <row r="5327">
      <c r="A5327" s="71" t="n"/>
    </row>
    <row r="5329">
      <c r="A5329" s="71" t="n"/>
    </row>
    <row r="5331">
      <c r="A5331" s="71" t="n"/>
    </row>
    <row r="5333">
      <c r="A5333" s="71" t="n"/>
    </row>
    <row r="5335">
      <c r="A5335" s="71" t="n"/>
    </row>
    <row r="5337">
      <c r="A5337" s="71" t="n"/>
    </row>
    <row r="5339">
      <c r="A5339" s="71" t="n"/>
    </row>
    <row r="5341">
      <c r="A5341" s="71" t="n"/>
    </row>
    <row r="5343">
      <c r="A5343" s="71" t="n"/>
    </row>
    <row r="5345">
      <c r="A5345" s="71" t="n"/>
    </row>
    <row r="5347">
      <c r="A5347" s="71" t="n"/>
    </row>
    <row r="5349">
      <c r="A5349" s="71" t="n"/>
    </row>
    <row r="5351">
      <c r="A5351" s="71" t="n"/>
    </row>
    <row r="5353">
      <c r="A5353" s="71" t="n"/>
    </row>
    <row r="5355">
      <c r="A5355" s="71" t="n"/>
    </row>
    <row r="5357">
      <c r="A5357" s="71" t="n"/>
    </row>
    <row r="5359">
      <c r="A5359" s="71" t="n"/>
    </row>
    <row r="5361">
      <c r="A5361" s="71" t="n"/>
    </row>
    <row r="5363">
      <c r="A5363" s="71" t="n"/>
    </row>
    <row r="5365">
      <c r="A5365" s="71" t="n"/>
    </row>
    <row r="5367">
      <c r="A5367" s="71" t="n"/>
    </row>
    <row r="5369">
      <c r="A5369" s="71" t="n"/>
    </row>
    <row r="5371">
      <c r="A5371" s="71" t="n"/>
    </row>
    <row r="5373">
      <c r="A5373" s="71" t="n"/>
    </row>
    <row r="5375">
      <c r="A5375" s="71" t="n"/>
    </row>
    <row r="5377">
      <c r="A5377" s="71" t="n"/>
    </row>
    <row r="5379">
      <c r="A5379" s="71" t="n"/>
    </row>
    <row r="5381">
      <c r="A5381" s="71" t="n"/>
    </row>
    <row r="5383">
      <c r="A5383" s="71" t="n"/>
    </row>
    <row r="5385">
      <c r="A5385" s="71" t="n"/>
    </row>
    <row r="5387">
      <c r="A5387" s="71" t="n"/>
    </row>
    <row r="5389">
      <c r="A5389" s="71" t="n"/>
    </row>
    <row r="5391">
      <c r="A5391" s="71" t="n"/>
    </row>
    <row r="5393">
      <c r="A5393" s="71" t="n"/>
    </row>
    <row r="5395">
      <c r="A5395" s="71" t="n"/>
    </row>
    <row r="5397">
      <c r="A5397" s="71" t="n"/>
    </row>
    <row r="5399">
      <c r="A5399" s="71" t="n"/>
    </row>
    <row r="5401">
      <c r="A5401" s="71" t="n"/>
    </row>
    <row r="5403">
      <c r="A5403" s="71" t="n"/>
    </row>
    <row r="5405">
      <c r="A5405" s="71" t="n"/>
    </row>
    <row r="5407">
      <c r="A5407" s="71" t="n"/>
    </row>
    <row r="5409">
      <c r="A5409" s="71" t="n"/>
    </row>
    <row r="5411">
      <c r="A5411" s="71" t="n"/>
    </row>
    <row r="5413">
      <c r="A5413" s="71" t="n"/>
    </row>
    <row r="5415">
      <c r="A5415" s="71" t="n"/>
    </row>
    <row r="5417">
      <c r="A5417" s="71" t="n"/>
    </row>
    <row r="5419">
      <c r="A5419" s="71" t="n"/>
    </row>
    <row r="5421">
      <c r="A5421" s="71" t="n"/>
    </row>
    <row r="5423">
      <c r="A5423" s="71" t="n"/>
    </row>
    <row r="5425">
      <c r="A5425" s="71" t="n"/>
    </row>
    <row r="5427">
      <c r="A5427" s="71" t="n"/>
    </row>
    <row r="5429">
      <c r="A5429" s="71" t="n"/>
    </row>
    <row r="5431">
      <c r="A5431" s="71" t="n"/>
    </row>
    <row r="5433">
      <c r="A5433" s="71" t="n"/>
    </row>
    <row r="5435">
      <c r="A5435" s="71" t="n"/>
    </row>
    <row r="5437">
      <c r="A5437" s="71" t="n"/>
    </row>
    <row r="5439">
      <c r="A5439" s="71" t="n"/>
    </row>
    <row r="5441">
      <c r="A5441" s="71" t="n"/>
    </row>
    <row r="5443">
      <c r="A5443" s="71" t="n"/>
    </row>
    <row r="5445">
      <c r="A5445" s="71" t="n"/>
    </row>
    <row r="5447">
      <c r="A5447" s="71" t="n"/>
    </row>
    <row r="5449">
      <c r="A5449" s="71" t="n"/>
    </row>
    <row r="5451">
      <c r="A5451" s="71" t="n"/>
    </row>
    <row r="5453">
      <c r="A5453" s="71" t="n"/>
    </row>
    <row r="5455">
      <c r="A5455" s="71" t="n"/>
    </row>
    <row r="5457">
      <c r="A5457" s="71" t="n"/>
    </row>
    <row r="5459">
      <c r="A5459" s="71" t="n"/>
    </row>
    <row r="5461">
      <c r="A5461" s="71" t="n"/>
    </row>
    <row r="5463">
      <c r="A5463" s="71" t="n"/>
    </row>
    <row r="5465">
      <c r="A5465" s="71" t="n"/>
    </row>
    <row r="5467">
      <c r="A5467" s="71" t="n"/>
    </row>
    <row r="5469">
      <c r="A5469" s="71" t="n"/>
    </row>
    <row r="5471">
      <c r="A5471" s="71" t="n"/>
    </row>
    <row r="5473">
      <c r="A5473" s="71" t="n"/>
    </row>
    <row r="5475">
      <c r="A5475" s="71" t="n"/>
    </row>
    <row r="5477">
      <c r="A5477" s="71" t="n"/>
    </row>
    <row r="5479">
      <c r="A5479" s="71" t="n"/>
    </row>
    <row r="5481">
      <c r="A5481" s="71" t="n"/>
    </row>
    <row r="5483">
      <c r="A5483" s="71" t="n"/>
    </row>
    <row r="5485">
      <c r="A5485" s="71" t="n"/>
    </row>
    <row r="5487">
      <c r="A5487" s="71" t="n"/>
    </row>
    <row r="5489">
      <c r="A5489" s="71" t="n"/>
    </row>
    <row r="5491">
      <c r="A5491" s="71" t="n"/>
    </row>
    <row r="5493">
      <c r="A5493" s="71" t="n"/>
    </row>
    <row r="5495">
      <c r="A5495" s="71" t="n"/>
    </row>
    <row r="5497">
      <c r="A5497" s="71" t="n"/>
    </row>
    <row r="5499">
      <c r="A5499" s="71" t="n"/>
    </row>
    <row r="5501">
      <c r="A5501" s="71" t="n"/>
    </row>
    <row r="5503">
      <c r="A5503" s="71" t="n"/>
    </row>
    <row r="5505">
      <c r="A5505" s="71" t="n"/>
    </row>
    <row r="5507">
      <c r="A5507" s="71" t="n"/>
    </row>
    <row r="5509">
      <c r="A5509" s="71" t="n"/>
    </row>
    <row r="5511">
      <c r="A5511" s="71" t="n"/>
    </row>
    <row r="5513">
      <c r="A5513" s="71" t="n"/>
    </row>
    <row r="5515">
      <c r="A5515" s="71" t="n"/>
    </row>
    <row r="5517">
      <c r="A5517" s="71" t="n"/>
    </row>
    <row r="5519">
      <c r="A5519" s="71" t="n"/>
    </row>
    <row r="5521">
      <c r="A5521" s="71" t="n"/>
    </row>
    <row r="5523">
      <c r="A5523" s="71" t="n"/>
    </row>
    <row r="5525">
      <c r="A5525" s="71" t="n"/>
    </row>
    <row r="5527">
      <c r="A5527" s="71" t="n"/>
    </row>
    <row r="5529">
      <c r="A5529" s="71" t="n"/>
    </row>
    <row r="5531">
      <c r="A5531" s="71" t="n"/>
    </row>
    <row r="5533">
      <c r="A5533" s="71" t="n"/>
    </row>
    <row r="5535">
      <c r="A5535" s="71" t="n"/>
    </row>
    <row r="5537">
      <c r="A5537" s="71" t="n"/>
    </row>
    <row r="5539">
      <c r="A5539" s="71" t="n"/>
    </row>
    <row r="5541">
      <c r="A5541" s="71" t="n"/>
    </row>
    <row r="5543">
      <c r="A5543" s="71" t="n"/>
    </row>
    <row r="5545">
      <c r="A5545" s="71" t="n"/>
    </row>
    <row r="5547">
      <c r="A5547" s="71" t="n"/>
    </row>
    <row r="5549">
      <c r="A5549" s="71" t="n"/>
    </row>
    <row r="5551">
      <c r="A5551" s="71" t="n"/>
    </row>
    <row r="5553">
      <c r="A5553" s="71" t="n"/>
    </row>
    <row r="5555">
      <c r="A5555" s="71" t="n"/>
    </row>
    <row r="5557">
      <c r="A5557" s="71" t="n"/>
    </row>
    <row r="5559">
      <c r="A5559" s="71" t="n"/>
    </row>
    <row r="5561">
      <c r="A5561" s="71" t="n"/>
    </row>
    <row r="5563">
      <c r="A5563" s="71" t="n"/>
    </row>
    <row r="5565">
      <c r="A5565" s="71" t="n"/>
    </row>
    <row r="5567">
      <c r="A5567" s="71" t="n"/>
    </row>
    <row r="5569">
      <c r="A5569" s="71" t="n"/>
    </row>
    <row r="5571">
      <c r="A5571" s="71" t="n"/>
    </row>
    <row r="5573">
      <c r="A5573" s="71" t="n"/>
    </row>
    <row r="5575">
      <c r="A5575" s="71" t="n"/>
    </row>
    <row r="5577">
      <c r="A5577" s="71" t="n"/>
    </row>
    <row r="5579">
      <c r="A5579" s="71" t="n"/>
    </row>
    <row r="5581">
      <c r="A5581" s="71" t="n"/>
    </row>
    <row r="5583">
      <c r="A5583" s="71" t="n"/>
    </row>
    <row r="5585">
      <c r="A5585" s="71" t="n"/>
    </row>
    <row r="5587">
      <c r="A5587" s="71" t="n"/>
    </row>
    <row r="5589">
      <c r="A5589" s="71" t="n"/>
    </row>
    <row r="5591">
      <c r="A5591" s="71" t="n"/>
    </row>
    <row r="5593">
      <c r="A5593" s="71" t="n"/>
    </row>
    <row r="5595">
      <c r="A5595" s="71" t="n"/>
    </row>
    <row r="5597">
      <c r="A5597" s="71" t="n"/>
    </row>
    <row r="5599">
      <c r="A5599" s="71" t="n"/>
    </row>
    <row r="5601">
      <c r="A5601" s="71" t="n"/>
    </row>
    <row r="5603">
      <c r="A5603" s="71" t="n"/>
    </row>
    <row r="5605">
      <c r="A5605" s="71" t="n"/>
    </row>
    <row r="5607">
      <c r="A5607" s="71" t="n"/>
    </row>
    <row r="5609">
      <c r="A5609" s="71" t="n"/>
    </row>
    <row r="5611">
      <c r="A5611" s="71" t="n"/>
    </row>
    <row r="5613">
      <c r="A5613" s="71" t="n"/>
    </row>
    <row r="5615">
      <c r="A5615" s="71" t="n"/>
    </row>
    <row r="5617">
      <c r="A5617" s="71" t="n"/>
    </row>
    <row r="5619">
      <c r="A5619" s="71" t="n"/>
    </row>
    <row r="5621">
      <c r="A5621" s="71" t="n"/>
    </row>
    <row r="5623">
      <c r="A5623" s="71" t="n"/>
    </row>
    <row r="5625">
      <c r="A5625" s="71" t="n"/>
    </row>
    <row r="5627">
      <c r="A5627" s="71" t="n"/>
    </row>
    <row r="5629">
      <c r="A5629" s="71" t="n"/>
    </row>
    <row r="5631">
      <c r="A5631" s="71" t="n"/>
    </row>
    <row r="5633">
      <c r="A5633" s="71" t="n"/>
    </row>
    <row r="5635">
      <c r="A5635" s="71" t="n"/>
    </row>
    <row r="5637">
      <c r="A5637" s="71" t="n"/>
    </row>
    <row r="5639">
      <c r="A5639" s="71" t="n"/>
    </row>
    <row r="5641">
      <c r="A5641" s="71" t="n"/>
    </row>
    <row r="5643">
      <c r="A5643" s="71" t="n"/>
    </row>
    <row r="5645">
      <c r="A5645" s="71" t="n"/>
    </row>
    <row r="5647">
      <c r="A5647" s="71" t="n"/>
    </row>
    <row r="5649">
      <c r="A5649" s="71" t="n"/>
    </row>
    <row r="5651">
      <c r="A5651" s="71" t="n"/>
    </row>
    <row r="5653">
      <c r="A5653" s="71" t="n"/>
    </row>
    <row r="5655">
      <c r="A5655" s="71" t="n"/>
    </row>
    <row r="5657">
      <c r="A5657" s="71" t="n"/>
    </row>
    <row r="5659">
      <c r="A5659" s="71" t="n"/>
    </row>
    <row r="5661">
      <c r="A5661" s="71" t="n"/>
    </row>
    <row r="5663">
      <c r="A5663" s="71" t="n"/>
    </row>
    <row r="5665">
      <c r="A5665" s="71" t="n"/>
    </row>
    <row r="5667">
      <c r="A5667" s="71" t="n"/>
    </row>
    <row r="5669">
      <c r="A5669" s="71" t="n"/>
    </row>
    <row r="5671">
      <c r="A5671" s="71" t="n"/>
    </row>
    <row r="5673">
      <c r="A5673" s="71" t="n"/>
    </row>
    <row r="5675">
      <c r="A5675" s="71" t="n"/>
    </row>
    <row r="5677">
      <c r="A5677" s="71" t="n"/>
    </row>
    <row r="5679">
      <c r="A5679" s="71" t="n"/>
    </row>
    <row r="5681">
      <c r="A5681" s="71" t="n"/>
    </row>
    <row r="5683">
      <c r="A5683" s="71" t="n"/>
    </row>
    <row r="5685">
      <c r="A5685" s="71" t="n"/>
    </row>
    <row r="5687">
      <c r="A5687" s="71" t="n"/>
    </row>
    <row r="5689">
      <c r="A5689" s="71" t="n"/>
    </row>
    <row r="5691">
      <c r="A5691" s="71" t="n"/>
    </row>
    <row r="5693">
      <c r="A5693" s="71" t="n"/>
    </row>
    <row r="5695">
      <c r="A5695" s="71" t="n"/>
    </row>
    <row r="5697">
      <c r="A5697" s="71" t="n"/>
    </row>
    <row r="5699">
      <c r="A5699" s="71" t="n"/>
    </row>
    <row r="5701">
      <c r="A5701" s="71" t="n"/>
    </row>
    <row r="5703">
      <c r="A5703" s="71" t="n"/>
    </row>
    <row r="5705">
      <c r="A5705" s="71" t="n"/>
    </row>
    <row r="5707">
      <c r="A5707" s="71" t="n"/>
    </row>
    <row r="5709">
      <c r="A5709" s="71" t="n"/>
    </row>
    <row r="5711">
      <c r="A5711" s="71" t="n"/>
    </row>
    <row r="5713">
      <c r="A5713" s="71" t="n"/>
    </row>
    <row r="5715">
      <c r="A5715" s="71" t="n"/>
    </row>
    <row r="5717">
      <c r="A5717" s="71" t="n"/>
    </row>
    <row r="5719">
      <c r="A5719" s="71" t="n"/>
    </row>
    <row r="5721">
      <c r="A5721" s="71" t="n"/>
    </row>
    <row r="5723">
      <c r="A5723" s="71" t="n"/>
    </row>
    <row r="5725">
      <c r="A5725" s="71" t="n"/>
    </row>
    <row r="5727">
      <c r="A5727" s="71" t="n"/>
    </row>
    <row r="5729">
      <c r="A5729" s="71" t="n"/>
    </row>
    <row r="5731">
      <c r="A5731" s="71" t="n"/>
    </row>
    <row r="5733">
      <c r="A5733" s="71" t="n"/>
    </row>
    <row r="5735">
      <c r="A5735" s="71" t="n"/>
    </row>
    <row r="5737">
      <c r="A5737" s="71" t="n"/>
    </row>
    <row r="5739">
      <c r="A5739" s="71" t="n"/>
    </row>
    <row r="5741">
      <c r="A5741" s="71" t="n"/>
    </row>
    <row r="5743">
      <c r="A5743" s="71" t="n"/>
    </row>
    <row r="5745">
      <c r="A5745" s="71" t="n"/>
    </row>
    <row r="5747">
      <c r="A5747" s="71" t="n"/>
    </row>
    <row r="5749">
      <c r="A5749" s="71" t="n"/>
    </row>
    <row r="5751">
      <c r="A5751" s="71" t="n"/>
    </row>
    <row r="5753">
      <c r="A5753" s="71" t="n"/>
    </row>
    <row r="5755">
      <c r="A5755" s="71" t="n"/>
    </row>
    <row r="5757">
      <c r="A5757" s="71" t="n"/>
    </row>
    <row r="5759">
      <c r="A5759" s="71" t="n"/>
    </row>
    <row r="5761">
      <c r="A5761" s="71" t="n"/>
    </row>
    <row r="5763">
      <c r="A5763" s="71" t="n"/>
    </row>
    <row r="5765">
      <c r="A5765" s="71" t="n"/>
    </row>
    <row r="5767">
      <c r="A5767" s="71" t="n"/>
    </row>
    <row r="5769">
      <c r="A5769" s="71" t="n"/>
    </row>
    <row r="5771">
      <c r="A5771" s="71" t="n"/>
    </row>
    <row r="5773">
      <c r="A5773" s="71" t="n"/>
    </row>
    <row r="5775">
      <c r="A5775" s="71" t="n"/>
    </row>
    <row r="5777">
      <c r="A5777" s="71" t="n"/>
    </row>
    <row r="5779">
      <c r="A5779" s="71" t="n"/>
    </row>
    <row r="5781">
      <c r="A5781" s="71" t="n"/>
    </row>
    <row r="5783">
      <c r="A5783" s="71" t="n"/>
    </row>
    <row r="5785">
      <c r="A5785" s="71" t="n"/>
    </row>
    <row r="5787">
      <c r="A5787" s="71" t="n"/>
    </row>
    <row r="5789">
      <c r="A5789" s="71" t="n"/>
    </row>
    <row r="5791">
      <c r="A5791" s="71" t="n"/>
    </row>
    <row r="5793">
      <c r="A5793" s="71" t="n"/>
    </row>
    <row r="5795">
      <c r="A5795" s="71" t="n"/>
    </row>
    <row r="5797">
      <c r="A5797" s="71" t="n"/>
    </row>
    <row r="5799">
      <c r="A5799" s="71" t="n"/>
    </row>
    <row r="5801">
      <c r="A5801" s="71" t="n"/>
    </row>
    <row r="5803">
      <c r="A5803" s="71" t="n"/>
    </row>
    <row r="5805">
      <c r="A5805" s="71" t="n"/>
    </row>
    <row r="5806">
      <c r="A5806" s="71" t="n"/>
    </row>
    <row r="5807">
      <c r="A5807" s="72" t="n"/>
      <c r="B5807" s="73" t="n"/>
      <c r="C5807" s="88" t="n"/>
    </row>
    <row r="5808">
      <c r="A5808" s="71" t="n"/>
    </row>
    <row r="5810">
      <c r="A5810" s="71" t="n"/>
    </row>
    <row r="5812">
      <c r="A5812" s="71" t="n"/>
    </row>
    <row r="5814">
      <c r="A5814" s="71" t="n"/>
    </row>
    <row r="5816">
      <c r="A5816" s="71" t="n"/>
    </row>
    <row r="5818">
      <c r="A5818" s="71" t="n"/>
    </row>
    <row r="5820">
      <c r="A5820" s="71" t="n"/>
    </row>
    <row r="5822">
      <c r="A5822" s="71" t="n"/>
    </row>
    <row r="5824">
      <c r="A5824" s="71" t="n"/>
    </row>
    <row r="5826">
      <c r="A5826" s="71" t="n"/>
    </row>
    <row r="5828">
      <c r="A5828" s="71" t="n"/>
    </row>
    <row r="5830">
      <c r="A5830" s="71" t="n"/>
    </row>
    <row r="5832">
      <c r="A5832" s="71" t="n"/>
    </row>
    <row r="5834">
      <c r="A5834" s="71" t="n"/>
    </row>
    <row r="5836">
      <c r="A5836" s="71" t="n"/>
    </row>
    <row r="5838">
      <c r="A5838" s="71" t="n"/>
    </row>
    <row r="5840">
      <c r="A5840" s="71" t="n"/>
    </row>
    <row r="5842">
      <c r="A5842" s="71" t="n"/>
    </row>
    <row r="5843">
      <c r="A5843" s="71" t="n"/>
    </row>
    <row r="5844">
      <c r="A5844" s="72" t="n"/>
      <c r="B5844" s="73" t="n"/>
      <c r="C5844" s="88" t="n"/>
    </row>
    <row r="5845">
      <c r="A5845" s="72" t="n"/>
    </row>
    <row r="5846">
      <c r="A5846" s="72" t="n"/>
    </row>
    <row r="5847">
      <c r="A5847" s="72" t="n"/>
    </row>
    <row r="5848">
      <c r="A5848" s="71" t="n"/>
    </row>
    <row r="5850">
      <c r="A5850" s="71" t="n"/>
    </row>
    <row r="5852">
      <c r="A5852" s="71" t="n"/>
    </row>
    <row r="5854">
      <c r="A5854" s="71" t="n"/>
    </row>
    <row r="5856">
      <c r="A5856" s="71" t="n"/>
    </row>
    <row r="5858">
      <c r="A5858" s="71" t="n"/>
    </row>
    <row r="5860">
      <c r="A5860" s="71" t="n"/>
    </row>
    <row r="5862">
      <c r="A5862" s="71" t="n"/>
    </row>
    <row r="5864">
      <c r="A5864" s="71" t="n"/>
    </row>
    <row r="5866">
      <c r="A5866" s="71" t="n"/>
    </row>
    <row r="5868">
      <c r="A5868" s="71" t="n"/>
    </row>
    <row r="5870">
      <c r="A5870" s="71" t="n"/>
    </row>
    <row r="5872">
      <c r="A5872" s="71" t="n"/>
    </row>
    <row r="5874">
      <c r="A5874" s="71" t="n"/>
    </row>
    <row r="5876">
      <c r="A5876" s="71" t="n"/>
    </row>
    <row r="5878">
      <c r="A5878" s="71" t="n"/>
    </row>
    <row r="5880">
      <c r="A5880" s="71" t="n"/>
    </row>
    <row r="5882">
      <c r="A5882" s="71" t="n"/>
    </row>
    <row r="5884">
      <c r="A5884" s="71" t="n"/>
    </row>
    <row r="5886">
      <c r="A5886" s="71" t="n"/>
    </row>
    <row r="5888">
      <c r="A5888" s="71" t="n"/>
    </row>
    <row r="5890">
      <c r="A5890" s="71" t="n"/>
    </row>
    <row r="5892">
      <c r="A5892" s="71" t="n"/>
    </row>
    <row r="5894">
      <c r="A5894" s="71" t="n"/>
    </row>
    <row r="5896">
      <c r="A5896" s="71" t="n"/>
    </row>
    <row r="5898">
      <c r="A5898" s="71" t="n"/>
    </row>
    <row r="5900">
      <c r="A5900" s="71" t="n"/>
    </row>
    <row r="5902">
      <c r="A5902" s="71" t="n"/>
    </row>
    <row r="5904">
      <c r="A5904" s="71" t="n"/>
    </row>
    <row r="5906">
      <c r="A5906" s="71" t="n"/>
    </row>
    <row r="5908">
      <c r="A5908" s="71" t="n"/>
    </row>
    <row r="5910">
      <c r="A5910" s="71" t="n"/>
    </row>
    <row r="5912">
      <c r="A5912" s="71" t="n"/>
    </row>
    <row r="5914">
      <c r="A5914" s="71" t="n"/>
    </row>
    <row r="5916">
      <c r="A5916" s="71" t="n"/>
    </row>
    <row r="5918">
      <c r="A5918" s="71" t="n"/>
    </row>
    <row r="5920">
      <c r="A5920" s="71" t="n"/>
    </row>
    <row r="5922">
      <c r="A5922" s="71" t="n"/>
    </row>
    <row r="5924">
      <c r="A5924" s="71" t="n"/>
    </row>
    <row r="5926">
      <c r="A5926" s="71" t="n"/>
    </row>
    <row r="5928">
      <c r="A5928" s="71" t="n"/>
    </row>
    <row r="5930">
      <c r="A5930" s="71" t="n"/>
    </row>
    <row r="5932">
      <c r="A5932" s="71" t="n"/>
    </row>
    <row r="5934">
      <c r="A5934" s="71" t="n"/>
    </row>
    <row r="5936">
      <c r="A5936" s="71" t="n"/>
    </row>
    <row r="5938">
      <c r="A5938" s="71" t="n"/>
    </row>
    <row r="5940">
      <c r="A5940" s="71" t="n"/>
    </row>
    <row r="5942">
      <c r="A5942" s="71" t="n"/>
    </row>
    <row r="5944">
      <c r="A5944" s="71" t="n"/>
    </row>
    <row r="5946">
      <c r="A5946" s="71" t="n"/>
    </row>
    <row r="5948">
      <c r="A5948" s="71" t="n"/>
    </row>
    <row r="5950">
      <c r="A5950" s="71" t="n"/>
    </row>
    <row r="5952">
      <c r="A5952" s="71" t="n"/>
    </row>
    <row r="5954">
      <c r="A5954" s="71" t="n"/>
    </row>
    <row r="5956">
      <c r="A5956" s="71" t="n"/>
    </row>
    <row r="5958">
      <c r="A5958" s="71" t="n"/>
    </row>
    <row r="5960">
      <c r="A5960" s="71" t="n"/>
    </row>
    <row r="5962">
      <c r="A5962" s="71" t="n"/>
    </row>
    <row r="5964">
      <c r="A5964" s="71" t="n"/>
    </row>
    <row r="5966">
      <c r="A5966" s="71" t="n"/>
    </row>
    <row r="5968">
      <c r="A5968" s="71" t="n"/>
    </row>
    <row r="5970">
      <c r="A5970" s="71" t="n"/>
    </row>
    <row r="5972">
      <c r="A5972" s="71" t="n"/>
    </row>
    <row r="5974">
      <c r="A5974" s="71" t="n"/>
    </row>
    <row r="5976">
      <c r="A5976" s="71" t="n"/>
    </row>
    <row r="5978">
      <c r="A5978" s="71" t="n"/>
    </row>
    <row r="5980">
      <c r="A5980" s="71" t="n"/>
    </row>
    <row r="5982">
      <c r="A5982" s="71" t="n"/>
    </row>
    <row r="5984">
      <c r="A5984" s="71" t="n"/>
    </row>
    <row r="5986">
      <c r="A5986" s="71" t="n"/>
    </row>
    <row r="5988">
      <c r="A5988" s="71" t="n"/>
    </row>
    <row r="5990">
      <c r="A5990" s="71" t="n"/>
    </row>
    <row r="5992">
      <c r="A5992" s="71" t="n"/>
    </row>
    <row r="5994">
      <c r="A5994" s="71" t="n"/>
    </row>
    <row r="5996">
      <c r="A5996" s="71" t="n"/>
    </row>
    <row r="5998">
      <c r="A5998" s="71" t="n"/>
    </row>
    <row r="6000">
      <c r="A6000" s="71" t="n"/>
    </row>
    <row r="6002">
      <c r="A6002" s="71" t="n"/>
    </row>
    <row r="6004">
      <c r="A6004" s="71" t="n"/>
    </row>
    <row r="6006">
      <c r="A6006" s="71" t="n"/>
    </row>
    <row r="6007">
      <c r="A6007" s="71" t="n"/>
    </row>
    <row r="6008">
      <c r="A6008" s="72" t="n"/>
      <c r="B6008" s="73" t="n"/>
      <c r="C6008" s="88" t="n"/>
    </row>
    <row r="6009">
      <c r="A6009" s="72" t="n"/>
    </row>
    <row r="6010">
      <c r="A6010" s="72" t="n"/>
      <c r="B6010" s="73" t="n"/>
      <c r="C6010" s="88" t="n"/>
    </row>
    <row r="6011">
      <c r="A6011" s="71" t="n"/>
    </row>
    <row r="6013">
      <c r="A6013" s="71" t="n"/>
    </row>
    <row r="6015">
      <c r="A6015" s="71" t="n"/>
    </row>
    <row r="6017">
      <c r="A6017" s="71" t="n"/>
    </row>
    <row r="6019">
      <c r="A6019" s="71" t="n"/>
    </row>
    <row r="6021">
      <c r="A6021" s="71" t="n"/>
    </row>
    <row r="6023">
      <c r="A6023" s="71" t="n"/>
    </row>
    <row r="6025">
      <c r="A6025" s="71" t="n"/>
    </row>
    <row r="6027">
      <c r="A6027" s="71" t="n"/>
    </row>
    <row r="6029">
      <c r="A6029" s="71" t="n"/>
    </row>
    <row r="6031">
      <c r="A6031" s="71" t="n"/>
    </row>
    <row r="6033">
      <c r="A6033" s="71" t="n"/>
    </row>
    <row r="6035">
      <c r="A6035" s="71" t="n"/>
    </row>
    <row r="6037">
      <c r="A6037" s="71" t="n"/>
    </row>
    <row r="6039">
      <c r="A6039" s="71" t="n"/>
    </row>
    <row r="6041">
      <c r="A6041" s="71" t="n"/>
    </row>
    <row r="6043">
      <c r="A6043" s="71" t="n"/>
    </row>
    <row r="6045">
      <c r="A6045" s="71" t="n"/>
    </row>
    <row r="6047">
      <c r="A6047" s="71" t="n"/>
    </row>
    <row r="6049">
      <c r="A6049" s="71" t="n"/>
    </row>
    <row r="6051">
      <c r="A6051" s="71" t="n"/>
    </row>
    <row r="6053">
      <c r="A6053" s="71" t="n"/>
    </row>
    <row r="6055">
      <c r="A6055" s="71" t="n"/>
    </row>
    <row r="6057">
      <c r="A6057" s="71" t="n"/>
    </row>
    <row r="6059">
      <c r="A6059" s="71" t="n"/>
    </row>
    <row r="6061">
      <c r="A6061" s="71" t="n"/>
    </row>
    <row r="6063">
      <c r="A6063" s="71" t="n"/>
    </row>
    <row r="6065">
      <c r="A6065" s="71" t="n"/>
    </row>
    <row r="6067">
      <c r="A6067" s="71" t="n"/>
    </row>
    <row r="6069">
      <c r="A6069" s="71" t="n"/>
    </row>
    <row r="6071">
      <c r="A6071" s="71" t="n"/>
    </row>
    <row r="6073">
      <c r="A6073" s="71" t="n"/>
    </row>
    <row r="6075">
      <c r="A6075" s="71" t="n"/>
    </row>
    <row r="6077">
      <c r="A6077" s="71" t="n"/>
    </row>
    <row r="6079">
      <c r="A6079" s="71" t="n"/>
    </row>
    <row r="6081">
      <c r="A6081" s="71" t="n"/>
    </row>
    <row r="6083">
      <c r="A6083" s="71" t="n"/>
    </row>
    <row r="6085">
      <c r="A6085" s="71" t="n"/>
    </row>
    <row r="6087">
      <c r="A6087" s="71" t="n"/>
    </row>
    <row r="6089">
      <c r="A6089" s="71" t="n"/>
    </row>
    <row r="6091">
      <c r="A6091" s="71" t="n"/>
    </row>
    <row r="6093">
      <c r="A6093" s="71" t="n"/>
    </row>
    <row r="6095">
      <c r="A6095" s="71" t="n"/>
    </row>
    <row r="6097">
      <c r="A6097" s="71" t="n"/>
    </row>
    <row r="6099">
      <c r="A6099" s="71" t="n"/>
    </row>
    <row r="6101">
      <c r="A6101" s="71" t="n"/>
    </row>
    <row r="6103">
      <c r="A6103" s="71" t="n"/>
    </row>
    <row r="6105">
      <c r="A6105" s="71" t="n"/>
    </row>
    <row r="6107">
      <c r="A6107" s="71" t="n"/>
    </row>
    <row r="6109">
      <c r="A6109" s="71" t="n"/>
    </row>
    <row r="6111">
      <c r="A6111" s="71" t="n"/>
    </row>
    <row r="6113">
      <c r="A6113" s="71" t="n"/>
    </row>
    <row r="6115">
      <c r="A6115" s="71" t="n"/>
    </row>
    <row r="6117">
      <c r="A6117" s="71" t="n"/>
    </row>
    <row r="6119">
      <c r="A6119" s="71" t="n"/>
    </row>
    <row r="6121">
      <c r="A6121" s="71" t="n"/>
    </row>
    <row r="6123">
      <c r="A6123" s="71" t="n"/>
    </row>
    <row r="6125">
      <c r="A6125" s="71" t="n"/>
    </row>
    <row r="6127">
      <c r="A6127" s="71" t="n"/>
    </row>
    <row r="6129">
      <c r="A6129" s="71" t="n"/>
    </row>
    <row r="6131">
      <c r="A6131" s="71" t="n"/>
    </row>
    <row r="6133">
      <c r="A6133" s="71" t="n"/>
    </row>
    <row r="6135">
      <c r="A6135" s="71" t="n"/>
    </row>
    <row r="6137">
      <c r="A6137" s="71" t="n"/>
    </row>
    <row r="6139">
      <c r="A6139" s="71" t="n"/>
    </row>
    <row r="6141">
      <c r="A6141" s="71" t="n"/>
    </row>
    <row r="6143">
      <c r="A6143" s="71" t="n"/>
    </row>
    <row r="6145">
      <c r="A6145" s="71" t="n"/>
    </row>
    <row r="6147">
      <c r="A6147" s="71" t="n"/>
    </row>
    <row r="6149">
      <c r="A6149" s="71" t="n"/>
    </row>
    <row r="6151">
      <c r="A6151" s="71" t="n"/>
    </row>
    <row r="6153">
      <c r="A6153" s="71" t="n"/>
    </row>
    <row r="6155">
      <c r="A6155" s="71" t="n"/>
    </row>
    <row r="6157">
      <c r="A6157" s="71" t="n"/>
    </row>
    <row r="6159">
      <c r="A6159" s="71" t="n"/>
    </row>
    <row r="6161">
      <c r="A6161" s="71" t="n"/>
    </row>
    <row r="6163">
      <c r="A6163" s="71" t="n"/>
    </row>
    <row r="6165">
      <c r="A6165" s="71" t="n"/>
    </row>
    <row r="6167">
      <c r="A6167" s="71" t="n"/>
    </row>
    <row r="6169">
      <c r="A6169" s="71" t="n"/>
    </row>
    <row r="6171">
      <c r="A6171" s="71" t="n"/>
    </row>
    <row r="6173">
      <c r="A6173" s="71" t="n"/>
    </row>
    <row r="6175">
      <c r="A6175" s="71" t="n"/>
    </row>
    <row r="6177">
      <c r="A6177" s="71" t="n"/>
    </row>
    <row r="6179">
      <c r="A6179" s="71" t="n"/>
    </row>
    <row r="6181">
      <c r="A6181" s="71" t="n"/>
    </row>
    <row r="6183">
      <c r="A6183" s="71" t="n"/>
    </row>
    <row r="6185">
      <c r="A6185" s="71" t="n"/>
    </row>
    <row r="6187">
      <c r="A6187" s="71" t="n"/>
    </row>
    <row r="6189">
      <c r="A6189" s="71" t="n"/>
    </row>
    <row r="6191">
      <c r="A6191" s="71" t="n"/>
    </row>
    <row r="6193">
      <c r="A6193" s="71" t="n"/>
    </row>
    <row r="6195">
      <c r="A6195" s="71" t="n"/>
    </row>
    <row r="6197">
      <c r="A6197" s="71" t="n"/>
    </row>
    <row r="6199">
      <c r="A6199" s="71" t="n"/>
    </row>
    <row r="6201">
      <c r="A6201" s="71" t="n"/>
    </row>
    <row r="6203">
      <c r="A6203" s="71" t="n"/>
    </row>
    <row r="6205">
      <c r="A6205" s="71" t="n"/>
    </row>
    <row r="6207">
      <c r="A6207" s="71" t="n"/>
    </row>
    <row r="6209">
      <c r="A6209" s="71" t="n"/>
    </row>
    <row r="6211">
      <c r="A6211" s="71" t="n"/>
    </row>
    <row r="6213">
      <c r="A6213" s="71" t="n"/>
    </row>
    <row r="6215">
      <c r="A6215" s="71" t="n"/>
    </row>
    <row r="6217">
      <c r="A6217" s="71" t="n"/>
    </row>
    <row r="6219">
      <c r="A6219" s="71" t="n"/>
    </row>
    <row r="6221">
      <c r="A6221" s="71" t="n"/>
    </row>
    <row r="6223">
      <c r="A6223" s="71" t="n"/>
    </row>
    <row r="6225">
      <c r="A6225" s="71" t="n"/>
    </row>
    <row r="6227">
      <c r="A6227" s="71" t="n"/>
    </row>
    <row r="6229">
      <c r="A6229" s="71" t="n"/>
    </row>
    <row r="6231">
      <c r="A6231" s="71" t="n"/>
    </row>
    <row r="6233">
      <c r="A6233" s="71" t="n"/>
    </row>
    <row r="6235">
      <c r="A6235" s="71" t="n"/>
    </row>
    <row r="6237">
      <c r="A6237" s="71" t="n"/>
    </row>
    <row r="6239">
      <c r="A6239" s="71" t="n"/>
    </row>
    <row r="6241">
      <c r="A6241" s="71" t="n"/>
    </row>
    <row r="6243">
      <c r="A6243" s="71" t="n"/>
    </row>
    <row r="6245">
      <c r="A6245" s="71" t="n"/>
    </row>
    <row r="6247">
      <c r="A6247" s="71" t="n"/>
    </row>
    <row r="6249">
      <c r="A6249" s="71" t="n"/>
    </row>
    <row r="6251">
      <c r="A6251" s="71" t="n"/>
    </row>
    <row r="6253">
      <c r="A6253" s="71" t="n"/>
    </row>
    <row r="6255">
      <c r="A6255" s="71" t="n"/>
    </row>
    <row r="6257">
      <c r="A6257" s="71" t="n"/>
    </row>
    <row r="6259">
      <c r="A6259" s="71" t="n"/>
    </row>
    <row r="6261">
      <c r="A6261" s="71" t="n"/>
    </row>
    <row r="6263">
      <c r="A6263" s="71" t="n"/>
    </row>
    <row r="6265">
      <c r="A6265" s="71" t="n"/>
    </row>
    <row r="6267">
      <c r="A6267" s="71" t="n"/>
    </row>
    <row r="6269">
      <c r="A6269" s="71" t="n"/>
    </row>
    <row r="6271">
      <c r="A6271" s="71" t="n"/>
    </row>
    <row r="6273">
      <c r="A6273" s="71" t="n"/>
    </row>
    <row r="6275">
      <c r="A6275" s="71" t="n"/>
    </row>
    <row r="6277">
      <c r="A6277" s="71" t="n"/>
    </row>
    <row r="6279">
      <c r="A6279" s="71" t="n"/>
    </row>
    <row r="6281">
      <c r="A6281" s="71" t="n"/>
    </row>
    <row r="6283">
      <c r="A6283" s="71" t="n"/>
    </row>
    <row r="6285">
      <c r="A6285" s="71" t="n"/>
    </row>
    <row r="6287">
      <c r="A6287" s="71" t="n"/>
    </row>
    <row r="6289">
      <c r="A6289" s="71" t="n"/>
    </row>
    <row r="6291">
      <c r="A6291" s="71" t="n"/>
    </row>
    <row r="6293">
      <c r="A6293" s="71" t="n"/>
    </row>
    <row r="6295">
      <c r="A6295" s="71" t="n"/>
    </row>
    <row r="6297">
      <c r="A6297" s="71" t="n"/>
    </row>
    <row r="6299">
      <c r="A6299" s="71" t="n"/>
    </row>
    <row r="6301">
      <c r="A6301" s="71" t="n"/>
    </row>
    <row r="6303">
      <c r="A6303" s="71" t="n"/>
    </row>
    <row r="6305">
      <c r="A6305" s="71" t="n"/>
    </row>
    <row r="6307">
      <c r="A6307" s="71" t="n"/>
    </row>
    <row r="6309">
      <c r="A6309" s="71" t="n"/>
    </row>
    <row r="6311">
      <c r="A6311" s="71" t="n"/>
    </row>
    <row r="6313">
      <c r="A6313" s="71" t="n"/>
    </row>
    <row r="6315">
      <c r="A6315" s="71" t="n"/>
    </row>
    <row r="6317">
      <c r="A6317" s="71" t="n"/>
    </row>
    <row r="6319">
      <c r="A6319" s="71" t="n"/>
    </row>
    <row r="6321">
      <c r="A6321" s="71" t="n"/>
    </row>
    <row r="6323">
      <c r="A6323" s="71" t="n"/>
    </row>
    <row r="6325">
      <c r="A6325" s="71" t="n"/>
    </row>
    <row r="6327">
      <c r="A6327" s="71" t="n"/>
    </row>
    <row r="6329">
      <c r="A6329" s="71" t="n"/>
    </row>
    <row r="6331">
      <c r="A6331" s="71" t="n"/>
    </row>
    <row r="6333">
      <c r="A6333" s="71" t="n"/>
    </row>
    <row r="6335">
      <c r="A6335" s="71" t="n"/>
    </row>
    <row r="6337">
      <c r="A6337" s="71" t="n"/>
    </row>
    <row r="6339">
      <c r="A6339" s="71" t="n"/>
    </row>
    <row r="6341">
      <c r="A6341" s="71" t="n"/>
    </row>
    <row r="6343">
      <c r="A6343" s="71" t="n"/>
    </row>
    <row r="6345">
      <c r="A6345" s="71" t="n"/>
    </row>
    <row r="6347">
      <c r="A6347" s="71" t="n"/>
    </row>
    <row r="6349">
      <c r="A6349" s="71" t="n"/>
    </row>
    <row r="6351">
      <c r="A6351" s="71" t="n"/>
    </row>
    <row r="6353">
      <c r="A6353" s="71" t="n"/>
    </row>
    <row r="6355">
      <c r="A6355" s="71" t="n"/>
    </row>
    <row r="6357">
      <c r="A6357" s="71" t="n"/>
    </row>
    <row r="6359">
      <c r="A6359" s="71" t="n"/>
    </row>
    <row r="6361">
      <c r="A6361" s="71" t="n"/>
    </row>
    <row r="6363">
      <c r="A6363" s="71" t="n"/>
    </row>
    <row r="6365">
      <c r="A6365" s="71" t="n"/>
    </row>
    <row r="6367">
      <c r="A6367" s="71" t="n"/>
    </row>
    <row r="6369">
      <c r="A6369" s="71" t="n"/>
    </row>
    <row r="6371">
      <c r="A6371" s="71" t="n"/>
    </row>
    <row r="6373">
      <c r="A6373" s="71" t="n"/>
    </row>
    <row r="6375">
      <c r="A6375" s="71" t="n"/>
    </row>
    <row r="6377">
      <c r="A6377" s="71" t="n"/>
    </row>
    <row r="6379">
      <c r="A6379" s="71" t="n"/>
    </row>
    <row r="6381">
      <c r="A6381" s="71" t="n"/>
    </row>
    <row r="6383">
      <c r="A6383" s="71" t="n"/>
    </row>
    <row r="6385">
      <c r="A6385" s="71" t="n"/>
    </row>
    <row r="6387">
      <c r="A6387" s="71" t="n"/>
    </row>
    <row r="6389">
      <c r="A6389" s="71" t="n"/>
    </row>
    <row r="6391">
      <c r="A6391" s="71" t="n"/>
    </row>
    <row r="6393">
      <c r="A6393" s="71" t="n"/>
    </row>
    <row r="6395">
      <c r="A6395" s="71" t="n"/>
    </row>
    <row r="6397">
      <c r="A6397" s="71" t="n"/>
    </row>
    <row r="6399">
      <c r="A6399" s="71" t="n"/>
    </row>
    <row r="6401">
      <c r="A6401" s="71" t="n"/>
    </row>
    <row r="6403">
      <c r="A6403" s="71" t="n"/>
    </row>
    <row r="6405">
      <c r="A6405" s="71" t="n"/>
    </row>
    <row r="6407">
      <c r="A6407" s="71" t="n"/>
    </row>
    <row r="6409">
      <c r="A6409" s="71" t="n"/>
    </row>
    <row r="6411">
      <c r="A6411" s="71" t="n"/>
    </row>
    <row r="6413">
      <c r="A6413" s="71" t="n"/>
    </row>
    <row r="6415">
      <c r="A6415" s="71" t="n"/>
    </row>
    <row r="6417">
      <c r="A6417" s="71" t="n"/>
    </row>
    <row r="6419">
      <c r="A6419" s="71" t="n"/>
    </row>
    <row r="6421">
      <c r="A6421" s="71" t="n"/>
    </row>
    <row r="6423">
      <c r="A6423" s="71" t="n"/>
    </row>
    <row r="6425">
      <c r="A6425" s="71" t="n"/>
    </row>
    <row r="6427">
      <c r="A6427" s="71" t="n"/>
    </row>
    <row r="6429">
      <c r="A6429" s="71" t="n"/>
    </row>
    <row r="6431">
      <c r="A6431" s="71" t="n"/>
    </row>
    <row r="6433">
      <c r="A6433" s="71" t="n"/>
    </row>
    <row r="6435">
      <c r="A6435" s="71" t="n"/>
    </row>
    <row r="6437">
      <c r="A6437" s="71" t="n"/>
    </row>
    <row r="6439">
      <c r="A6439" s="71" t="n"/>
    </row>
    <row r="6441">
      <c r="A6441" s="71" t="n"/>
    </row>
    <row r="6443">
      <c r="A6443" s="71" t="n"/>
    </row>
    <row r="6445">
      <c r="A6445" s="71" t="n"/>
    </row>
    <row r="6447">
      <c r="A6447" s="71" t="n"/>
    </row>
    <row r="6449">
      <c r="A6449" s="71" t="n"/>
    </row>
    <row r="6451">
      <c r="A6451" s="71" t="n"/>
    </row>
    <row r="6453">
      <c r="A6453" s="71" t="n"/>
    </row>
    <row r="6455">
      <c r="A6455" s="71" t="n"/>
    </row>
    <row r="6457">
      <c r="A6457" s="71" t="n"/>
    </row>
    <row r="6459">
      <c r="A6459" s="71" t="n"/>
    </row>
    <row r="6461">
      <c r="A6461" s="71" t="n"/>
    </row>
    <row r="6463">
      <c r="A6463" s="71" t="n"/>
    </row>
    <row r="6465">
      <c r="A6465" s="71" t="n"/>
    </row>
    <row r="6467">
      <c r="A6467" s="71" t="n"/>
    </row>
    <row r="6469">
      <c r="A6469" s="71" t="n"/>
    </row>
    <row r="6471">
      <c r="A6471" s="71" t="n"/>
    </row>
    <row r="6473">
      <c r="A6473" s="71" t="n"/>
    </row>
    <row r="6475">
      <c r="A6475" s="71" t="n"/>
    </row>
    <row r="6477">
      <c r="A6477" s="71" t="n"/>
    </row>
    <row r="6479">
      <c r="A6479" s="71" t="n"/>
    </row>
    <row r="6481">
      <c r="A6481" s="71" t="n"/>
    </row>
    <row r="6483">
      <c r="A6483" s="71" t="n"/>
    </row>
    <row r="6485">
      <c r="A6485" s="71" t="n"/>
    </row>
    <row r="6487">
      <c r="A6487" s="71" t="n"/>
    </row>
    <row r="6489">
      <c r="A6489" s="71" t="n"/>
    </row>
    <row r="6491">
      <c r="A6491" s="71" t="n"/>
    </row>
    <row r="6493">
      <c r="A6493" s="71" t="n"/>
    </row>
    <row r="6495">
      <c r="A6495" s="71" t="n"/>
    </row>
    <row r="6497">
      <c r="A6497" s="71" t="n"/>
    </row>
    <row r="6499">
      <c r="A6499" s="71" t="n"/>
    </row>
    <row r="6501">
      <c r="A6501" s="71" t="n"/>
    </row>
    <row r="6503">
      <c r="A6503" s="71" t="n"/>
    </row>
    <row r="6505">
      <c r="A6505" s="71" t="n"/>
    </row>
    <row r="6507">
      <c r="A6507" s="71" t="n"/>
    </row>
    <row r="6509">
      <c r="A6509" s="71" t="n"/>
    </row>
    <row r="6511">
      <c r="A6511" s="71" t="n"/>
    </row>
    <row r="6513">
      <c r="A6513" s="71" t="n"/>
    </row>
    <row r="6515">
      <c r="A6515" s="71" t="n"/>
    </row>
    <row r="6517">
      <c r="A6517" s="71" t="n"/>
    </row>
    <row r="6519">
      <c r="A6519" s="71" t="n"/>
    </row>
    <row r="6521">
      <c r="A6521" s="71" t="n"/>
    </row>
    <row r="6523">
      <c r="A6523" s="71" t="n"/>
    </row>
    <row r="6525">
      <c r="A6525" s="71" t="n"/>
    </row>
    <row r="6527">
      <c r="A6527" s="71" t="n"/>
    </row>
    <row r="6529">
      <c r="A6529" s="71" t="n"/>
    </row>
    <row r="6531">
      <c r="A6531" s="71" t="n"/>
    </row>
    <row r="6533">
      <c r="A6533" s="71" t="n"/>
    </row>
    <row r="6535">
      <c r="A6535" s="71" t="n"/>
    </row>
    <row r="6537">
      <c r="A6537" s="71" t="n"/>
    </row>
    <row r="6539">
      <c r="A6539" s="71" t="n"/>
    </row>
    <row r="6541">
      <c r="A6541" s="71" t="n"/>
    </row>
    <row r="6543">
      <c r="A6543" s="71" t="n"/>
    </row>
    <row r="6545">
      <c r="A6545" s="71" t="n"/>
    </row>
    <row r="6547">
      <c r="A6547" s="71" t="n"/>
    </row>
    <row r="6549">
      <c r="A6549" s="71" t="n"/>
    </row>
    <row r="6551">
      <c r="A6551" s="71" t="n"/>
    </row>
    <row r="6553">
      <c r="A6553" s="71" t="n"/>
    </row>
    <row r="6555">
      <c r="A6555" s="71" t="n"/>
    </row>
    <row r="6557">
      <c r="A6557" s="71" t="n"/>
    </row>
    <row r="6559">
      <c r="A6559" s="71" t="n"/>
    </row>
    <row r="6561">
      <c r="A6561" s="71" t="n"/>
    </row>
    <row r="6563">
      <c r="A6563" s="71" t="n"/>
    </row>
    <row r="6565">
      <c r="A6565" s="71" t="n"/>
    </row>
    <row r="6567">
      <c r="A6567" s="71" t="n"/>
    </row>
    <row r="6569">
      <c r="A6569" s="71" t="n"/>
    </row>
    <row r="6571">
      <c r="A6571" s="71" t="n"/>
    </row>
    <row r="6573">
      <c r="A6573" s="71" t="n"/>
    </row>
    <row r="6575">
      <c r="A6575" s="71" t="n"/>
    </row>
    <row r="6577">
      <c r="A6577" s="71" t="n"/>
    </row>
    <row r="6579">
      <c r="A6579" s="71" t="n"/>
    </row>
    <row r="6581">
      <c r="A6581" s="71" t="n"/>
    </row>
    <row r="6583">
      <c r="A6583" s="71" t="n"/>
    </row>
    <row r="6585">
      <c r="A6585" s="71" t="n"/>
    </row>
    <row r="6587">
      <c r="A6587" s="71" t="n"/>
    </row>
    <row r="6589">
      <c r="A6589" s="71" t="n"/>
    </row>
    <row r="6591">
      <c r="A6591" s="71" t="n"/>
    </row>
    <row r="6593">
      <c r="A6593" s="71" t="n"/>
    </row>
    <row r="6595">
      <c r="A6595" s="71" t="n"/>
    </row>
    <row r="6597">
      <c r="A6597" s="71" t="n"/>
    </row>
    <row r="6599">
      <c r="A6599" s="71" t="n"/>
    </row>
    <row r="6601">
      <c r="A6601" s="71" t="n"/>
    </row>
    <row r="6603">
      <c r="A6603" s="71" t="n"/>
    </row>
    <row r="6605">
      <c r="A6605" s="71" t="n"/>
    </row>
    <row r="6607">
      <c r="A6607" s="71" t="n"/>
    </row>
    <row r="6609">
      <c r="A6609" s="71" t="n"/>
    </row>
    <row r="6611">
      <c r="A6611" s="71" t="n"/>
    </row>
    <row r="6613">
      <c r="A6613" s="71" t="n"/>
    </row>
    <row r="6615">
      <c r="A6615" s="71" t="n"/>
    </row>
    <row r="6617">
      <c r="A6617" s="71" t="n"/>
    </row>
    <row r="6619">
      <c r="A6619" s="71" t="n"/>
    </row>
    <row r="6621">
      <c r="A6621" s="71" t="n"/>
    </row>
    <row r="6623">
      <c r="A6623" s="71" t="n"/>
    </row>
    <row r="6625">
      <c r="A6625" s="71" t="n"/>
    </row>
    <row r="6627">
      <c r="A6627" s="71" t="n"/>
    </row>
    <row r="6629">
      <c r="A6629" s="71" t="n"/>
    </row>
    <row r="6631">
      <c r="A6631" s="71" t="n"/>
    </row>
    <row r="6633">
      <c r="A6633" s="71" t="n"/>
    </row>
    <row r="6635">
      <c r="A6635" s="71" t="n"/>
    </row>
    <row r="6637">
      <c r="A6637" s="71" t="n"/>
    </row>
    <row r="6639">
      <c r="A6639" s="71" t="n"/>
    </row>
    <row r="6641">
      <c r="A6641" s="71" t="n"/>
    </row>
    <row r="6643">
      <c r="A6643" s="71" t="n"/>
    </row>
    <row r="6645">
      <c r="A6645" s="71" t="n"/>
    </row>
    <row r="6647">
      <c r="A6647" s="71" t="n"/>
    </row>
    <row r="6649">
      <c r="A6649" s="71" t="n"/>
    </row>
    <row r="6651">
      <c r="A6651" s="71" t="n"/>
    </row>
    <row r="6653">
      <c r="A6653" s="71" t="n"/>
    </row>
    <row r="6655">
      <c r="A6655" s="71" t="n"/>
    </row>
    <row r="6657">
      <c r="A6657" s="71" t="n"/>
    </row>
    <row r="6659">
      <c r="A6659" s="71" t="n"/>
    </row>
    <row r="6661">
      <c r="A6661" s="71" t="n"/>
    </row>
    <row r="6663">
      <c r="A6663" s="71" t="n"/>
    </row>
    <row r="6665">
      <c r="A6665" s="71" t="n"/>
    </row>
    <row r="6667">
      <c r="A6667" s="71" t="n"/>
    </row>
    <row r="6669">
      <c r="A6669" s="71" t="n"/>
    </row>
    <row r="6671">
      <c r="A6671" s="71" t="n"/>
    </row>
    <row r="6673">
      <c r="A6673" s="71" t="n"/>
    </row>
    <row r="6675">
      <c r="A6675" s="71" t="n"/>
    </row>
    <row r="6677">
      <c r="A6677" s="71" t="n"/>
    </row>
    <row r="6679">
      <c r="A6679" s="71" t="n"/>
    </row>
    <row r="6681">
      <c r="A6681" s="71" t="n"/>
    </row>
    <row r="6683">
      <c r="A6683" s="71" t="n"/>
    </row>
    <row r="6685">
      <c r="A6685" s="71" t="n"/>
    </row>
    <row r="6687">
      <c r="A6687" s="71" t="n"/>
    </row>
    <row r="6689">
      <c r="A6689" s="71" t="n"/>
    </row>
    <row r="6691">
      <c r="A6691" s="71" t="n"/>
    </row>
    <row r="6693">
      <c r="A6693" s="71" t="n"/>
    </row>
    <row r="6695">
      <c r="A6695" s="71" t="n"/>
    </row>
    <row r="6697">
      <c r="A6697" s="71" t="n"/>
    </row>
    <row r="6699">
      <c r="A6699" s="71" t="n"/>
    </row>
    <row r="6701">
      <c r="A6701" s="71" t="n"/>
    </row>
    <row r="6703">
      <c r="A6703" s="71" t="n"/>
    </row>
    <row r="6705">
      <c r="A6705" s="71" t="n"/>
    </row>
    <row r="6707">
      <c r="A6707" s="71" t="n"/>
    </row>
    <row r="6709">
      <c r="A6709" s="71" t="n"/>
    </row>
    <row r="6711">
      <c r="A6711" s="71" t="n"/>
    </row>
    <row r="6713">
      <c r="A6713" s="71" t="n"/>
    </row>
    <row r="6715">
      <c r="A6715" s="71" t="n"/>
    </row>
    <row r="6717">
      <c r="A6717" s="71" t="n"/>
    </row>
    <row r="6719">
      <c r="A6719" s="71" t="n"/>
    </row>
    <row r="6721">
      <c r="A6721" s="71" t="n"/>
    </row>
    <row r="6723">
      <c r="A6723" s="71" t="n"/>
    </row>
    <row r="6725">
      <c r="A6725" s="71" t="n"/>
    </row>
    <row r="6727">
      <c r="A6727" s="71" t="n"/>
    </row>
    <row r="6729">
      <c r="A6729" s="71" t="n"/>
    </row>
    <row r="6731">
      <c r="A6731" s="71" t="n"/>
    </row>
    <row r="6733">
      <c r="A6733" s="71" t="n"/>
    </row>
    <row r="6735">
      <c r="A6735" s="71" t="n"/>
    </row>
    <row r="6737">
      <c r="A6737" s="71" t="n"/>
    </row>
    <row r="6739">
      <c r="A6739" s="71" t="n"/>
    </row>
    <row r="6741">
      <c r="A6741" s="71" t="n"/>
    </row>
    <row r="6743">
      <c r="A6743" s="71" t="n"/>
    </row>
    <row r="6745">
      <c r="A6745" s="71" t="n"/>
    </row>
    <row r="6747">
      <c r="A6747" s="71" t="n"/>
    </row>
    <row r="6749">
      <c r="A6749" s="71" t="n"/>
    </row>
    <row r="6751">
      <c r="A6751" s="71" t="n"/>
    </row>
    <row r="6753">
      <c r="A6753" s="71" t="n"/>
    </row>
    <row r="6755">
      <c r="A6755" s="71" t="n"/>
    </row>
    <row r="6757">
      <c r="A6757" s="71" t="n"/>
    </row>
    <row r="6759">
      <c r="A6759" s="71" t="n"/>
    </row>
    <row r="6761">
      <c r="A6761" s="71" t="n"/>
    </row>
    <row r="6763">
      <c r="A6763" s="71" t="n"/>
    </row>
    <row r="6765">
      <c r="A6765" s="71" t="n"/>
    </row>
    <row r="6767">
      <c r="A6767" s="71" t="n"/>
    </row>
    <row r="6769">
      <c r="A6769" s="71" t="n"/>
    </row>
    <row r="6771">
      <c r="A6771" s="71" t="n"/>
    </row>
    <row r="6773">
      <c r="A6773" s="71" t="n"/>
    </row>
    <row r="6775">
      <c r="A6775" s="71" t="n"/>
    </row>
    <row r="6777">
      <c r="A6777" s="71" t="n"/>
    </row>
    <row r="6779">
      <c r="A6779" s="71" t="n"/>
    </row>
    <row r="6781">
      <c r="A6781" s="71" t="n"/>
    </row>
    <row r="6783">
      <c r="A6783" s="71" t="n"/>
    </row>
    <row r="6785">
      <c r="A6785" s="71" t="n"/>
    </row>
    <row r="6787">
      <c r="A6787" s="71" t="n"/>
    </row>
    <row r="6789">
      <c r="A6789" s="71" t="n"/>
    </row>
    <row r="6791">
      <c r="A6791" s="71" t="n"/>
    </row>
    <row r="6793">
      <c r="A6793" s="71" t="n"/>
    </row>
    <row r="6795">
      <c r="A6795" s="71" t="n"/>
    </row>
    <row r="6797">
      <c r="A6797" s="71" t="n"/>
    </row>
    <row r="6799">
      <c r="A6799" s="71" t="n"/>
    </row>
    <row r="6801">
      <c r="A6801" s="71" t="n"/>
    </row>
    <row r="6803">
      <c r="A6803" s="71" t="n"/>
    </row>
    <row r="6805">
      <c r="A6805" s="71" t="n"/>
    </row>
    <row r="6807">
      <c r="A6807" s="71" t="n"/>
    </row>
    <row r="6809">
      <c r="A6809" s="71" t="n"/>
    </row>
    <row r="6811">
      <c r="A6811" s="71" t="n"/>
    </row>
    <row r="6813">
      <c r="A6813" s="71" t="n"/>
    </row>
    <row r="6815">
      <c r="A6815" s="71" t="n"/>
    </row>
    <row r="6817">
      <c r="A6817" s="71" t="n"/>
    </row>
    <row r="6819">
      <c r="A6819" s="71" t="n"/>
    </row>
    <row r="6821">
      <c r="A6821" s="71" t="n"/>
    </row>
    <row r="6823">
      <c r="A6823" s="71" t="n"/>
    </row>
    <row r="6825">
      <c r="A6825" s="71" t="n"/>
    </row>
    <row r="6827">
      <c r="A6827" s="71" t="n"/>
    </row>
    <row r="6829">
      <c r="A6829" s="71" t="n"/>
    </row>
    <row r="6831">
      <c r="A6831" s="71" t="n"/>
    </row>
    <row r="6833">
      <c r="A6833" s="71" t="n"/>
    </row>
    <row r="6835">
      <c r="A6835" s="71" t="n"/>
    </row>
    <row r="6837">
      <c r="A6837" s="71" t="n"/>
    </row>
    <row r="6839">
      <c r="A6839" s="71" t="n"/>
    </row>
    <row r="6841">
      <c r="A6841" s="71" t="n"/>
    </row>
    <row r="6843">
      <c r="A6843" s="71" t="n"/>
    </row>
    <row r="6845">
      <c r="A6845" s="71" t="n"/>
    </row>
    <row r="6846">
      <c r="A6846" s="71" t="n"/>
    </row>
    <row r="6847">
      <c r="A6847" s="72" t="n"/>
      <c r="B6847" s="73" t="n"/>
      <c r="C6847" s="88" t="n"/>
    </row>
    <row r="6848">
      <c r="A6848" s="71" t="n"/>
    </row>
    <row r="6850">
      <c r="A6850" s="71" t="n"/>
    </row>
    <row r="6852">
      <c r="A6852" s="71" t="n"/>
    </row>
    <row r="6854">
      <c r="A6854" s="71" t="n"/>
    </row>
    <row r="6856">
      <c r="A6856" s="71" t="n"/>
    </row>
    <row r="6858">
      <c r="A6858" s="71" t="n"/>
    </row>
    <row r="6860">
      <c r="A6860" s="71" t="n"/>
    </row>
    <row r="6862">
      <c r="A6862" s="71" t="n"/>
    </row>
    <row r="6864">
      <c r="A6864" s="71" t="n"/>
    </row>
    <row r="6866">
      <c r="A6866" s="71" t="n"/>
    </row>
    <row r="6868">
      <c r="A6868" s="71" t="n"/>
    </row>
    <row r="6870">
      <c r="A6870" s="71" t="n"/>
    </row>
    <row r="6872">
      <c r="A6872" s="71" t="n"/>
    </row>
    <row r="6874">
      <c r="A6874" s="71" t="n"/>
    </row>
    <row r="6876">
      <c r="A6876" s="71" t="n"/>
    </row>
    <row r="6878">
      <c r="A6878" s="71" t="n"/>
    </row>
    <row r="6880">
      <c r="A6880" s="71" t="n"/>
    </row>
    <row r="6882">
      <c r="A6882" s="71" t="n"/>
    </row>
    <row r="6884">
      <c r="A6884" s="71" t="n"/>
    </row>
    <row r="6886">
      <c r="A6886" s="71" t="n"/>
    </row>
    <row r="6888">
      <c r="A6888" s="71" t="n"/>
    </row>
    <row r="6890">
      <c r="A6890" s="71" t="n"/>
    </row>
    <row r="6892">
      <c r="A6892" s="71" t="n"/>
    </row>
    <row r="6894">
      <c r="A6894" s="71" t="n"/>
    </row>
    <row r="6896">
      <c r="A6896" s="71" t="n"/>
    </row>
    <row r="6898">
      <c r="A6898" s="71" t="n"/>
    </row>
    <row r="6900">
      <c r="A6900" s="71" t="n"/>
    </row>
    <row r="6902">
      <c r="A6902" s="71" t="n"/>
    </row>
    <row r="6904">
      <c r="A6904" s="71" t="n"/>
    </row>
    <row r="6906">
      <c r="A6906" s="71" t="n"/>
    </row>
    <row r="6908">
      <c r="A6908" s="71" t="n"/>
    </row>
    <row r="6910">
      <c r="A6910" s="71" t="n"/>
    </row>
    <row r="6912">
      <c r="A6912" s="71" t="n"/>
    </row>
    <row r="6914">
      <c r="A6914" s="71" t="n"/>
    </row>
    <row r="6916">
      <c r="A6916" s="71" t="n"/>
    </row>
    <row r="6918">
      <c r="A6918" s="71" t="n"/>
    </row>
    <row r="6920">
      <c r="A6920" s="71" t="n"/>
    </row>
    <row r="6922">
      <c r="A6922" s="71" t="n"/>
    </row>
    <row r="6924">
      <c r="A6924" s="71" t="n"/>
    </row>
    <row r="6926">
      <c r="A6926" s="71" t="n"/>
    </row>
    <row r="6928">
      <c r="A6928" s="71" t="n"/>
    </row>
    <row r="6930">
      <c r="A6930" s="71" t="n"/>
    </row>
    <row r="6932">
      <c r="A6932" s="71" t="n"/>
    </row>
    <row r="6934">
      <c r="A6934" s="71" t="n"/>
    </row>
    <row r="6936">
      <c r="A6936" s="71" t="n"/>
    </row>
    <row r="6938">
      <c r="A6938" s="71" t="n"/>
    </row>
    <row r="6940">
      <c r="A6940" s="71" t="n"/>
    </row>
    <row r="6942">
      <c r="A6942" s="71" t="n"/>
    </row>
    <row r="6944">
      <c r="A6944" s="71" t="n"/>
    </row>
    <row r="6946">
      <c r="A6946" s="71" t="n"/>
    </row>
    <row r="6948">
      <c r="A6948" s="71" t="n"/>
    </row>
    <row r="6950">
      <c r="A6950" s="71" t="n"/>
    </row>
    <row r="6952">
      <c r="A6952" s="71" t="n"/>
    </row>
    <row r="6954">
      <c r="A6954" s="71" t="n"/>
    </row>
    <row r="6956">
      <c r="A6956" s="71" t="n"/>
    </row>
    <row r="6958">
      <c r="A6958" s="71" t="n"/>
    </row>
    <row r="6960">
      <c r="A6960" s="71" t="n"/>
    </row>
    <row r="6962">
      <c r="A6962" s="71" t="n"/>
    </row>
    <row r="6964">
      <c r="A6964" s="71" t="n"/>
    </row>
    <row r="6966">
      <c r="A6966" s="71" t="n"/>
    </row>
    <row r="6968">
      <c r="A6968" s="71" t="n"/>
    </row>
    <row r="6970">
      <c r="A6970" s="71" t="n"/>
    </row>
    <row r="6972">
      <c r="A6972" s="71" t="n"/>
    </row>
    <row r="6974">
      <c r="A6974" s="71" t="n"/>
    </row>
    <row r="6976">
      <c r="A6976" s="71" t="n"/>
    </row>
    <row r="6978">
      <c r="A6978" s="71" t="n"/>
    </row>
    <row r="6980">
      <c r="A6980" s="71" t="n"/>
    </row>
    <row r="6982">
      <c r="A6982" s="71" t="n"/>
    </row>
    <row r="6984">
      <c r="A6984" s="71" t="n"/>
    </row>
    <row r="6986">
      <c r="A6986" s="71" t="n"/>
    </row>
    <row r="6988">
      <c r="A6988" s="71" t="n"/>
    </row>
    <row r="6990">
      <c r="A6990" s="71" t="n"/>
    </row>
    <row r="6992">
      <c r="A6992" s="71" t="n"/>
    </row>
    <row r="6994">
      <c r="A6994" s="71" t="n"/>
    </row>
    <row r="6996">
      <c r="A6996" s="71" t="n"/>
    </row>
    <row r="6998">
      <c r="A6998" s="71" t="n"/>
    </row>
    <row r="7000">
      <c r="A7000" s="71" t="n"/>
    </row>
    <row r="7002">
      <c r="A7002" s="71" t="n"/>
    </row>
    <row r="7004">
      <c r="A7004" s="71" t="n"/>
    </row>
    <row r="7006">
      <c r="A7006" s="71" t="n"/>
    </row>
    <row r="7008">
      <c r="A7008" s="71" t="n"/>
    </row>
    <row r="7010">
      <c r="A7010" s="71" t="n"/>
    </row>
    <row r="7012">
      <c r="A7012" s="71" t="n"/>
    </row>
    <row r="7014">
      <c r="A7014" s="71" t="n"/>
    </row>
    <row r="7016">
      <c r="A7016" s="71" t="n"/>
    </row>
    <row r="7018">
      <c r="A7018" s="71" t="n"/>
    </row>
    <row r="7020">
      <c r="A7020" s="71" t="n"/>
    </row>
    <row r="7022">
      <c r="A7022" s="71" t="n"/>
    </row>
    <row r="7024">
      <c r="A7024" s="71" t="n"/>
    </row>
    <row r="7026">
      <c r="A7026" s="71" t="n"/>
    </row>
    <row r="7028">
      <c r="A7028" s="71" t="n"/>
    </row>
    <row r="7030">
      <c r="A7030" s="71" t="n"/>
    </row>
    <row r="7032">
      <c r="A7032" s="71" t="n"/>
    </row>
    <row r="7034">
      <c r="A7034" s="71" t="n"/>
    </row>
    <row r="7036">
      <c r="A7036" s="71" t="n"/>
    </row>
    <row r="7038">
      <c r="A7038" s="71" t="n"/>
    </row>
    <row r="7040">
      <c r="A7040" s="71" t="n"/>
    </row>
    <row r="7042">
      <c r="A7042" s="71" t="n"/>
    </row>
    <row r="7044">
      <c r="A7044" s="71" t="n"/>
    </row>
    <row r="7046">
      <c r="A7046" s="71" t="n"/>
    </row>
    <row r="7048">
      <c r="A7048" s="71" t="n"/>
    </row>
    <row r="7050">
      <c r="A7050" s="71" t="n"/>
    </row>
    <row r="7052">
      <c r="A7052" s="71" t="n"/>
    </row>
    <row r="7054">
      <c r="A7054" s="71" t="n"/>
    </row>
    <row r="7056">
      <c r="A7056" s="71" t="n"/>
    </row>
    <row r="7058">
      <c r="A7058" s="71" t="n"/>
    </row>
    <row r="7060">
      <c r="A7060" s="71" t="n"/>
    </row>
    <row r="7062">
      <c r="A7062" s="71" t="n"/>
    </row>
    <row r="7064">
      <c r="A7064" s="71" t="n"/>
    </row>
    <row r="7066">
      <c r="A7066" s="71" t="n"/>
    </row>
    <row r="7068">
      <c r="A7068" s="71" t="n"/>
    </row>
    <row r="7070">
      <c r="A7070" s="71" t="n"/>
    </row>
    <row r="7072">
      <c r="A7072" s="71" t="n"/>
    </row>
    <row r="7074">
      <c r="A7074" s="71" t="n"/>
    </row>
    <row r="7076">
      <c r="A7076" s="71" t="n"/>
    </row>
    <row r="7078">
      <c r="A7078" s="71" t="n"/>
    </row>
    <row r="7080">
      <c r="A7080" s="71" t="n"/>
    </row>
    <row r="7082">
      <c r="A7082" s="71" t="n"/>
    </row>
    <row r="7084">
      <c r="A7084" s="71" t="n"/>
    </row>
    <row r="7086">
      <c r="A7086" s="71" t="n"/>
    </row>
    <row r="7088">
      <c r="A7088" s="71" t="n"/>
    </row>
    <row r="7090">
      <c r="A7090" s="71" t="n"/>
    </row>
    <row r="7092">
      <c r="A7092" s="71" t="n"/>
    </row>
    <row r="7094">
      <c r="A7094" s="71" t="n"/>
    </row>
    <row r="7096">
      <c r="A7096" s="71" t="n"/>
    </row>
    <row r="7098">
      <c r="A7098" s="71" t="n"/>
    </row>
    <row r="7100">
      <c r="A7100" s="71" t="n"/>
    </row>
    <row r="7102">
      <c r="A7102" s="71" t="n"/>
    </row>
    <row r="7104">
      <c r="A7104" s="71" t="n"/>
    </row>
    <row r="7106">
      <c r="A7106" s="71" t="n"/>
    </row>
    <row r="7108">
      <c r="A7108" s="71" t="n"/>
    </row>
    <row r="7110">
      <c r="A7110" s="71" t="n"/>
    </row>
    <row r="7112">
      <c r="A7112" s="71" t="n"/>
    </row>
    <row r="7114">
      <c r="A7114" s="71" t="n"/>
    </row>
    <row r="7116">
      <c r="A7116" s="71" t="n"/>
    </row>
    <row r="7118">
      <c r="A7118" s="71" t="n"/>
    </row>
    <row r="7120">
      <c r="A7120" s="71" t="n"/>
    </row>
    <row r="7122">
      <c r="A7122" s="71" t="n"/>
    </row>
    <row r="7124">
      <c r="A7124" s="71" t="n"/>
    </row>
    <row r="7126">
      <c r="A7126" s="71" t="n"/>
    </row>
    <row r="7128">
      <c r="A7128" s="71" t="n"/>
    </row>
    <row r="7130">
      <c r="A7130" s="71" t="n"/>
    </row>
    <row r="7132">
      <c r="A7132" s="71" t="n"/>
    </row>
    <row r="7134">
      <c r="A7134" s="71" t="n"/>
    </row>
    <row r="7136">
      <c r="A7136" s="71" t="n"/>
    </row>
    <row r="7138">
      <c r="A7138" s="71" t="n"/>
    </row>
    <row r="7140">
      <c r="A7140" s="71" t="n"/>
    </row>
    <row r="7142">
      <c r="A7142" s="71" t="n"/>
    </row>
    <row r="7144">
      <c r="A7144" s="71" t="n"/>
    </row>
    <row r="7146">
      <c r="A7146" s="71" t="n"/>
    </row>
    <row r="7148">
      <c r="A7148" s="71" t="n"/>
    </row>
    <row r="7150">
      <c r="A7150" s="71" t="n"/>
    </row>
    <row r="7152">
      <c r="A7152" s="71" t="n"/>
    </row>
    <row r="7154">
      <c r="A7154" s="71" t="n"/>
    </row>
    <row r="7156">
      <c r="A7156" s="71" t="n"/>
    </row>
    <row r="7158">
      <c r="A7158" s="71" t="n"/>
    </row>
    <row r="7160">
      <c r="A7160" s="71" t="n"/>
    </row>
    <row r="7162">
      <c r="A7162" s="71" t="n"/>
    </row>
    <row r="7164">
      <c r="A7164" s="71" t="n"/>
    </row>
    <row r="7166">
      <c r="A7166" s="71" t="n"/>
    </row>
    <row r="7168">
      <c r="A7168" s="71" t="n"/>
    </row>
    <row r="7170">
      <c r="A7170" s="71" t="n"/>
    </row>
    <row r="7172">
      <c r="A7172" s="71" t="n"/>
    </row>
    <row r="7174">
      <c r="A7174" s="71" t="n"/>
    </row>
    <row r="7176">
      <c r="A7176" s="71" t="n"/>
    </row>
    <row r="7178">
      <c r="A7178" s="71" t="n"/>
    </row>
    <row r="7180">
      <c r="A7180" s="71" t="n"/>
    </row>
    <row r="7182">
      <c r="A7182" s="71" t="n"/>
    </row>
    <row r="7184">
      <c r="A7184" s="71" t="n"/>
    </row>
    <row r="7186">
      <c r="A7186" s="71" t="n"/>
    </row>
    <row r="7188">
      <c r="A7188" s="71" t="n"/>
    </row>
    <row r="7190">
      <c r="A7190" s="71" t="n"/>
    </row>
    <row r="7192">
      <c r="A7192" s="71" t="n"/>
    </row>
    <row r="7194">
      <c r="A7194" s="71" t="n"/>
    </row>
    <row r="7196">
      <c r="A7196" s="71" t="n"/>
    </row>
    <row r="7198">
      <c r="A7198" s="71" t="n"/>
    </row>
    <row r="7200">
      <c r="A7200" s="71" t="n"/>
    </row>
    <row r="7202">
      <c r="A7202" s="71" t="n"/>
    </row>
    <row r="7204">
      <c r="A7204" s="71" t="n"/>
    </row>
    <row r="7206">
      <c r="A7206" s="71" t="n"/>
    </row>
    <row r="7208">
      <c r="A7208" s="71" t="n"/>
    </row>
    <row r="7210">
      <c r="A7210" s="71" t="n"/>
    </row>
    <row r="7212">
      <c r="A7212" s="71" t="n"/>
    </row>
    <row r="7214">
      <c r="A7214" s="71" t="n"/>
    </row>
    <row r="7216">
      <c r="A7216" s="71" t="n"/>
    </row>
    <row r="7218">
      <c r="A7218" s="71" t="n"/>
    </row>
    <row r="7220">
      <c r="A7220" s="71" t="n"/>
    </row>
    <row r="7222">
      <c r="A7222" s="71" t="n"/>
    </row>
    <row r="7224">
      <c r="A7224" s="71" t="n"/>
    </row>
    <row r="7226">
      <c r="A7226" s="71" t="n"/>
    </row>
    <row r="7228">
      <c r="A7228" s="71" t="n"/>
    </row>
    <row r="7230">
      <c r="A7230" s="71" t="n"/>
    </row>
    <row r="7232">
      <c r="A7232" s="71" t="n"/>
    </row>
    <row r="7234">
      <c r="A7234" s="71" t="n"/>
    </row>
    <row r="7236">
      <c r="A7236" s="71" t="n"/>
    </row>
    <row r="7238">
      <c r="A7238" s="71" t="n"/>
    </row>
    <row r="7240">
      <c r="A7240" s="71" t="n"/>
    </row>
    <row r="7242">
      <c r="A7242" s="71" t="n"/>
    </row>
    <row r="7244">
      <c r="A7244" s="71" t="n"/>
    </row>
    <row r="7246">
      <c r="A7246" s="71" t="n"/>
    </row>
    <row r="7248">
      <c r="A7248" s="71" t="n"/>
    </row>
    <row r="7250">
      <c r="A7250" s="71" t="n"/>
    </row>
    <row r="7252">
      <c r="A7252" s="71" t="n"/>
    </row>
    <row r="7254">
      <c r="A7254" s="71" t="n"/>
    </row>
    <row r="7256">
      <c r="A7256" s="71" t="n"/>
    </row>
    <row r="7258">
      <c r="A7258" s="71" t="n"/>
    </row>
    <row r="7260">
      <c r="A7260" s="71" t="n"/>
    </row>
    <row r="7262">
      <c r="A7262" s="71" t="n"/>
    </row>
    <row r="7264">
      <c r="A7264" s="71" t="n"/>
    </row>
    <row r="7266">
      <c r="A7266" s="71" t="n"/>
    </row>
    <row r="7268">
      <c r="A7268" s="71" t="n"/>
    </row>
    <row r="7270">
      <c r="A7270" s="71" t="n"/>
    </row>
    <row r="7272">
      <c r="A7272" s="71" t="n"/>
    </row>
    <row r="7274">
      <c r="A7274" s="71" t="n"/>
    </row>
    <row r="7276">
      <c r="A7276" s="71" t="n"/>
    </row>
    <row r="7278">
      <c r="A7278" s="71" t="n"/>
    </row>
    <row r="7280">
      <c r="A7280" s="71" t="n"/>
    </row>
    <row r="7282">
      <c r="A7282" s="71" t="n"/>
    </row>
    <row r="7284">
      <c r="A7284" s="71" t="n"/>
    </row>
    <row r="7286">
      <c r="A7286" s="71" t="n"/>
    </row>
    <row r="7288">
      <c r="A7288" s="71" t="n"/>
    </row>
    <row r="7290">
      <c r="A7290" s="71" t="n"/>
    </row>
    <row r="7292">
      <c r="A7292" s="71" t="n"/>
    </row>
    <row r="7294">
      <c r="A7294" s="71" t="n"/>
    </row>
    <row r="7296">
      <c r="A7296" s="71" t="n"/>
    </row>
    <row r="7298">
      <c r="A7298" s="71" t="n"/>
    </row>
    <row r="7300">
      <c r="A7300" s="71" t="n"/>
    </row>
    <row r="7302">
      <c r="A7302" s="71" t="n"/>
    </row>
    <row r="7304">
      <c r="A7304" s="71" t="n"/>
    </row>
    <row r="7306">
      <c r="A7306" s="71" t="n"/>
    </row>
    <row r="7308">
      <c r="A7308" s="71" t="n"/>
    </row>
    <row r="7310">
      <c r="A7310" s="71" t="n"/>
    </row>
    <row r="7312">
      <c r="A7312" s="71" t="n"/>
    </row>
    <row r="7314">
      <c r="A7314" s="71" t="n"/>
    </row>
    <row r="7316">
      <c r="A7316" s="71" t="n"/>
    </row>
    <row r="7318">
      <c r="A7318" s="71" t="n"/>
    </row>
    <row r="7320">
      <c r="A7320" s="71" t="n"/>
    </row>
    <row r="7322">
      <c r="A7322" s="71" t="n"/>
    </row>
    <row r="7324">
      <c r="A7324" s="71" t="n"/>
    </row>
    <row r="7326">
      <c r="A7326" s="71" t="n"/>
    </row>
    <row r="7328">
      <c r="A7328" s="71" t="n"/>
    </row>
    <row r="7330">
      <c r="A7330" s="71" t="n"/>
    </row>
    <row r="7332">
      <c r="A7332" s="71" t="n"/>
    </row>
    <row r="7334">
      <c r="A7334" s="71" t="n"/>
    </row>
    <row r="7336">
      <c r="A7336" s="71" t="n"/>
    </row>
    <row r="7338">
      <c r="A7338" s="71" t="n"/>
    </row>
    <row r="7340">
      <c r="A7340" s="71" t="n"/>
    </row>
    <row r="7342">
      <c r="A7342" s="71" t="n"/>
    </row>
    <row r="7344">
      <c r="A7344" s="71" t="n"/>
    </row>
    <row r="7346">
      <c r="A7346" s="71" t="n"/>
    </row>
    <row r="7348">
      <c r="A7348" s="71" t="n"/>
    </row>
    <row r="7350">
      <c r="A7350" s="71" t="n"/>
    </row>
    <row r="7352">
      <c r="A7352" s="71" t="n"/>
    </row>
    <row r="7354">
      <c r="A7354" s="71" t="n"/>
    </row>
    <row r="7356">
      <c r="A7356" s="71" t="n"/>
    </row>
    <row r="7358">
      <c r="A7358" s="71" t="n"/>
    </row>
    <row r="7360">
      <c r="A7360" s="71" t="n"/>
    </row>
    <row r="7362">
      <c r="A7362" s="71" t="n"/>
    </row>
    <row r="7364">
      <c r="A7364" s="71" t="n"/>
    </row>
    <row r="7366">
      <c r="A7366" s="71" t="n"/>
    </row>
    <row r="7368">
      <c r="A7368" s="71" t="n"/>
    </row>
    <row r="7370">
      <c r="A7370" s="71" t="n"/>
    </row>
    <row r="7372">
      <c r="A7372" s="71" t="n"/>
    </row>
    <row r="7374">
      <c r="A7374" s="71" t="n"/>
    </row>
    <row r="7376">
      <c r="A7376" s="71" t="n"/>
    </row>
    <row r="7378">
      <c r="A7378" s="71" t="n"/>
    </row>
    <row r="7380">
      <c r="A7380" s="71" t="n"/>
    </row>
    <row r="7382">
      <c r="A7382" s="71" t="n"/>
    </row>
    <row r="7384">
      <c r="A7384" s="71" t="n"/>
    </row>
    <row r="7386">
      <c r="A7386" s="71" t="n"/>
    </row>
    <row r="7388">
      <c r="A7388" s="71" t="n"/>
    </row>
    <row r="7390">
      <c r="A7390" s="71" t="n"/>
    </row>
    <row r="7392">
      <c r="A7392" s="71" t="n"/>
    </row>
    <row r="7394">
      <c r="A7394" s="71" t="n"/>
    </row>
    <row r="7396">
      <c r="A7396" s="71" t="n"/>
    </row>
    <row r="7398">
      <c r="A7398" s="71" t="n"/>
    </row>
    <row r="7400">
      <c r="A7400" s="71" t="n"/>
    </row>
    <row r="7402">
      <c r="A7402" s="71" t="n"/>
    </row>
    <row r="7404">
      <c r="A7404" s="71" t="n"/>
    </row>
    <row r="7406">
      <c r="A7406" s="71" t="n"/>
    </row>
    <row r="7408">
      <c r="A7408" s="71" t="n"/>
    </row>
    <row r="7410">
      <c r="A7410" s="71" t="n"/>
    </row>
    <row r="7412">
      <c r="A7412" s="71" t="n"/>
    </row>
    <row r="7414">
      <c r="A7414" s="71" t="n"/>
    </row>
    <row r="7416">
      <c r="A7416" s="71" t="n"/>
    </row>
    <row r="7418">
      <c r="A7418" s="71" t="n"/>
    </row>
    <row r="7420">
      <c r="A7420" s="71" t="n"/>
    </row>
    <row r="7422">
      <c r="A7422" s="71" t="n"/>
    </row>
    <row r="7424">
      <c r="A7424" s="71" t="n"/>
    </row>
    <row r="7426">
      <c r="A7426" s="71" t="n"/>
    </row>
    <row r="7428">
      <c r="A7428" s="71" t="n"/>
    </row>
    <row r="7430">
      <c r="A7430" s="71" t="n"/>
    </row>
    <row r="7432">
      <c r="A7432" s="71" t="n"/>
    </row>
    <row r="7434">
      <c r="A7434" s="71" t="n"/>
    </row>
    <row r="7436">
      <c r="A7436" s="71" t="n"/>
    </row>
    <row r="7438">
      <c r="A7438" s="71" t="n"/>
    </row>
    <row r="7440">
      <c r="A7440" s="71" t="n"/>
    </row>
    <row r="7442">
      <c r="A7442" s="71" t="n"/>
    </row>
    <row r="7444">
      <c r="A7444" s="71" t="n"/>
    </row>
    <row r="7446">
      <c r="A7446" s="71" t="n"/>
    </row>
    <row r="7448">
      <c r="A7448" s="71" t="n"/>
    </row>
    <row r="7450">
      <c r="A7450" s="71" t="n"/>
    </row>
    <row r="7452">
      <c r="A7452" s="71" t="n"/>
    </row>
    <row r="7454">
      <c r="A7454" s="71" t="n"/>
    </row>
    <row r="7456">
      <c r="A7456" s="71" t="n"/>
    </row>
    <row r="7458">
      <c r="A7458" s="71" t="n"/>
    </row>
    <row r="7460">
      <c r="A7460" s="71" t="n"/>
    </row>
    <row r="7462">
      <c r="A7462" s="71" t="n"/>
    </row>
    <row r="7464">
      <c r="A7464" s="71" t="n"/>
    </row>
    <row r="7466">
      <c r="A7466" s="71" t="n"/>
    </row>
    <row r="7468">
      <c r="A7468" s="71" t="n"/>
    </row>
    <row r="7470">
      <c r="A7470" s="71" t="n"/>
    </row>
    <row r="7472">
      <c r="A7472" s="71" t="n"/>
    </row>
    <row r="7474">
      <c r="A7474" s="71" t="n"/>
    </row>
    <row r="7476">
      <c r="A7476" s="71" t="n"/>
    </row>
    <row r="7478">
      <c r="A7478" s="71" t="n"/>
    </row>
    <row r="7480">
      <c r="A7480" s="71" t="n"/>
    </row>
    <row r="7482">
      <c r="A7482" s="71" t="n"/>
    </row>
    <row r="7484">
      <c r="A7484" s="71" t="n"/>
    </row>
    <row r="7486">
      <c r="A7486" s="71" t="n"/>
    </row>
    <row r="7488">
      <c r="A7488" s="71" t="n"/>
    </row>
    <row r="7490">
      <c r="A7490" s="71" t="n"/>
    </row>
    <row r="7492">
      <c r="A7492" s="71" t="n"/>
    </row>
    <row r="7494">
      <c r="A7494" s="71" t="n"/>
    </row>
    <row r="7496">
      <c r="A7496" s="71" t="n"/>
    </row>
    <row r="7498">
      <c r="A7498" s="71" t="n"/>
    </row>
    <row r="7500">
      <c r="A7500" s="71" t="n"/>
    </row>
    <row r="7502">
      <c r="A7502" s="71" t="n"/>
    </row>
    <row r="7504">
      <c r="A7504" s="71" t="n"/>
    </row>
    <row r="7506">
      <c r="A7506" s="71" t="n"/>
    </row>
    <row r="7508">
      <c r="A7508" s="71" t="n"/>
    </row>
    <row r="7510">
      <c r="A7510" s="71" t="n"/>
    </row>
    <row r="7512">
      <c r="A7512" s="71" t="n"/>
    </row>
    <row r="7514">
      <c r="A7514" s="71" t="n"/>
    </row>
    <row r="7516">
      <c r="A7516" s="71" t="n"/>
    </row>
    <row r="7518">
      <c r="A7518" s="71" t="n"/>
    </row>
    <row r="7520">
      <c r="A7520" s="71" t="n"/>
    </row>
    <row r="7522">
      <c r="A7522" s="71" t="n"/>
    </row>
    <row r="7524">
      <c r="A7524" s="71" t="n"/>
    </row>
    <row r="7526">
      <c r="A7526" s="71" t="n"/>
    </row>
    <row r="7528">
      <c r="A7528" s="71" t="n"/>
    </row>
    <row r="7530">
      <c r="A7530" s="71" t="n"/>
    </row>
    <row r="7532">
      <c r="A7532" s="71" t="n"/>
    </row>
    <row r="7534">
      <c r="A7534" s="71" t="n"/>
    </row>
    <row r="7536">
      <c r="A7536" s="71" t="n"/>
    </row>
    <row r="7538">
      <c r="A7538" s="71" t="n"/>
    </row>
    <row r="7540">
      <c r="A7540" s="71" t="n"/>
    </row>
    <row r="7542">
      <c r="A7542" s="71" t="n"/>
    </row>
    <row r="7544">
      <c r="A7544" s="71" t="n"/>
    </row>
    <row r="7546">
      <c r="A7546" s="71" t="n"/>
    </row>
    <row r="7548">
      <c r="A7548" s="71" t="n"/>
    </row>
    <row r="7550">
      <c r="A7550" s="71" t="n"/>
    </row>
    <row r="7551">
      <c r="A7551" s="71" t="n"/>
    </row>
    <row r="7552">
      <c r="A7552" s="72" t="n"/>
      <c r="B7552" s="73" t="n"/>
      <c r="C7552" s="88" t="n"/>
    </row>
    <row r="7553">
      <c r="A7553" s="71" t="n"/>
    </row>
    <row r="7555">
      <c r="A7555" s="71" t="n"/>
    </row>
    <row r="7557">
      <c r="A7557" s="71" t="n"/>
    </row>
    <row r="7558">
      <c r="A7558" s="71" t="n"/>
    </row>
    <row r="7559">
      <c r="A7559" s="72" t="n"/>
      <c r="B7559" s="73" t="n"/>
      <c r="C7559" s="88" t="n"/>
    </row>
    <row r="7560">
      <c r="A7560" s="71" t="n"/>
    </row>
    <row r="7562">
      <c r="A7562" s="71" t="n"/>
    </row>
    <row r="7564">
      <c r="A7564" s="71" t="n"/>
    </row>
    <row r="7566">
      <c r="A7566" s="71" t="n"/>
    </row>
    <row r="7568">
      <c r="A7568" s="71" t="n"/>
    </row>
    <row r="7570">
      <c r="A7570" s="71" t="n"/>
    </row>
    <row r="7572">
      <c r="A7572" s="71" t="n"/>
    </row>
    <row r="7574">
      <c r="A7574" s="71" t="n"/>
    </row>
    <row r="7576">
      <c r="A7576" s="71" t="n"/>
    </row>
    <row r="7578">
      <c r="A7578" s="71" t="n"/>
    </row>
    <row r="7580">
      <c r="A7580" s="71" t="n"/>
    </row>
    <row r="7582">
      <c r="A7582" s="71" t="n"/>
    </row>
    <row r="7584">
      <c r="A7584" s="71" t="n"/>
    </row>
    <row r="7585">
      <c r="A7585" s="71" t="n"/>
    </row>
    <row r="7586">
      <c r="A7586" s="72" t="n"/>
      <c r="B7586" s="73" t="n"/>
      <c r="C7586" s="88" t="n"/>
    </row>
    <row r="7587">
      <c r="A7587" s="72" t="n"/>
    </row>
    <row r="7588">
      <c r="A7588" s="71" t="n"/>
    </row>
    <row r="7590">
      <c r="A7590" s="71" t="n"/>
    </row>
    <row r="7592">
      <c r="A7592" s="71" t="n"/>
    </row>
    <row r="7594">
      <c r="A7594" s="71" t="n"/>
    </row>
    <row r="7596">
      <c r="A7596" s="71" t="n"/>
    </row>
    <row r="7598">
      <c r="A7598" s="71" t="n"/>
    </row>
    <row r="7600">
      <c r="A7600" s="71" t="n"/>
    </row>
    <row r="7602">
      <c r="A7602" s="71" t="n"/>
    </row>
    <row r="7604">
      <c r="A7604" s="71" t="n"/>
    </row>
    <row r="7606">
      <c r="A7606" s="71" t="n"/>
    </row>
    <row r="7608">
      <c r="A7608" s="71" t="n"/>
    </row>
    <row r="7610">
      <c r="A7610" s="71" t="n"/>
    </row>
    <row r="7612">
      <c r="A7612" s="71" t="n"/>
    </row>
    <row r="7614">
      <c r="A7614" s="71" t="n"/>
    </row>
    <row r="7616">
      <c r="A7616" s="71" t="n"/>
    </row>
    <row r="7618">
      <c r="A7618" s="71" t="n"/>
    </row>
    <row r="7620">
      <c r="A7620" s="71" t="n"/>
    </row>
    <row r="7622">
      <c r="A7622" s="71" t="n"/>
    </row>
    <row r="7624">
      <c r="A7624" s="71" t="n"/>
    </row>
    <row r="7626">
      <c r="A7626" s="71" t="n"/>
    </row>
    <row r="7628">
      <c r="A7628" s="71" t="n"/>
    </row>
    <row r="7630">
      <c r="A7630" s="71" t="n"/>
    </row>
    <row r="7632">
      <c r="A7632" s="71" t="n"/>
    </row>
    <row r="7634">
      <c r="A7634" s="71" t="n"/>
    </row>
    <row r="7636">
      <c r="A7636" s="71" t="n"/>
    </row>
    <row r="7638">
      <c r="A7638" s="71" t="n"/>
    </row>
    <row r="7640">
      <c r="A7640" s="71" t="n"/>
    </row>
    <row r="7642">
      <c r="A7642" s="71" t="n"/>
    </row>
    <row r="7644">
      <c r="A7644" s="71" t="n"/>
    </row>
    <row r="7646">
      <c r="A7646" s="71" t="n"/>
    </row>
    <row r="7648">
      <c r="A7648" s="71" t="n"/>
    </row>
    <row r="7650">
      <c r="A7650" s="71" t="n"/>
    </row>
    <row r="7652">
      <c r="A7652" s="71" t="n"/>
    </row>
    <row r="7654">
      <c r="A7654" s="71" t="n"/>
    </row>
    <row r="7656">
      <c r="A7656" s="71" t="n"/>
    </row>
    <row r="7658">
      <c r="A7658" s="71" t="n"/>
    </row>
    <row r="7660">
      <c r="A7660" s="71" t="n"/>
    </row>
    <row r="7662">
      <c r="A7662" s="71" t="n"/>
    </row>
    <row r="7664">
      <c r="A7664" s="71" t="n"/>
    </row>
    <row r="7666">
      <c r="A7666" s="71" t="n"/>
    </row>
    <row r="7668">
      <c r="A7668" s="71" t="n"/>
    </row>
    <row r="7670">
      <c r="A7670" s="71" t="n"/>
    </row>
    <row r="7672">
      <c r="A7672" s="71" t="n"/>
    </row>
    <row r="7674">
      <c r="A7674" s="71" t="n"/>
    </row>
    <row r="7676">
      <c r="A7676" s="71" t="n"/>
    </row>
    <row r="7678">
      <c r="A7678" s="71" t="n"/>
    </row>
    <row r="7680">
      <c r="A7680" s="71" t="n"/>
    </row>
    <row r="7682">
      <c r="A7682" s="71" t="n"/>
    </row>
    <row r="7684">
      <c r="A7684" s="71" t="n"/>
    </row>
    <row r="7686">
      <c r="A7686" s="71" t="n"/>
    </row>
    <row r="7688">
      <c r="A7688" s="71" t="n"/>
    </row>
    <row r="7690">
      <c r="A7690" s="71" t="n"/>
    </row>
    <row r="7692">
      <c r="A7692" s="71" t="n"/>
    </row>
    <row r="7694">
      <c r="A7694" s="71" t="n"/>
    </row>
    <row r="7696">
      <c r="A7696" s="71" t="n"/>
    </row>
    <row r="7698">
      <c r="A7698" s="71" t="n"/>
    </row>
    <row r="7700">
      <c r="A7700" s="71" t="n"/>
    </row>
    <row r="7702">
      <c r="A7702" s="71" t="n"/>
    </row>
    <row r="7704">
      <c r="A7704" s="71" t="n"/>
    </row>
    <row r="7706">
      <c r="A7706" s="71" t="n"/>
    </row>
    <row r="7708">
      <c r="A7708" s="71" t="n"/>
    </row>
    <row r="7710">
      <c r="A7710" s="71" t="n"/>
    </row>
    <row r="7712">
      <c r="A7712" s="71" t="n"/>
    </row>
    <row r="7714">
      <c r="A7714" s="71" t="n"/>
    </row>
    <row r="7716">
      <c r="A7716" s="71" t="n"/>
    </row>
    <row r="7717">
      <c r="A7717" s="71" t="n"/>
    </row>
    <row r="7718">
      <c r="A7718" s="72" t="n"/>
      <c r="B7718" s="73" t="n"/>
      <c r="C7718" s="88" t="n"/>
    </row>
    <row r="7719">
      <c r="A7719" s="72" t="n"/>
    </row>
    <row r="7720">
      <c r="A7720" s="72" t="n"/>
    </row>
    <row r="7721">
      <c r="A7721" s="71" t="n"/>
    </row>
    <row r="7723">
      <c r="A7723" s="71" t="n"/>
    </row>
    <row r="7725">
      <c r="A7725" s="71" t="n"/>
    </row>
    <row r="7727">
      <c r="A7727" s="71" t="n"/>
    </row>
    <row r="7729">
      <c r="A7729" s="71" t="n"/>
    </row>
    <row r="7731">
      <c r="A7731" s="71" t="n"/>
    </row>
    <row r="7733">
      <c r="A7733" s="71" t="n"/>
    </row>
    <row r="7735">
      <c r="A7735" s="71" t="n"/>
    </row>
    <row r="7736">
      <c r="A7736" s="71" t="n"/>
    </row>
    <row r="7737">
      <c r="A7737" s="72" t="n"/>
      <c r="B7737" s="73" t="n"/>
      <c r="C7737" s="88" t="n"/>
    </row>
    <row r="7738">
      <c r="A7738" s="72" t="n"/>
    </row>
    <row r="7739">
      <c r="A7739" s="71" t="n"/>
    </row>
    <row r="7741">
      <c r="A7741" s="71" t="n"/>
    </row>
    <row r="7743">
      <c r="A7743" s="71" t="n"/>
    </row>
    <row r="7745">
      <c r="A7745" s="71" t="n"/>
    </row>
    <row r="7747">
      <c r="A7747" s="71" t="n"/>
    </row>
    <row r="7749">
      <c r="A7749" s="71" t="n"/>
    </row>
    <row r="7751">
      <c r="A7751" s="71" t="n"/>
    </row>
    <row r="7753">
      <c r="A7753" s="71" t="n"/>
    </row>
    <row r="7755">
      <c r="A7755" s="71" t="n"/>
    </row>
    <row r="7757">
      <c r="A7757" s="71" t="n"/>
    </row>
    <row r="7759">
      <c r="A7759" s="71" t="n"/>
    </row>
    <row r="7761">
      <c r="A7761" s="71" t="n"/>
    </row>
    <row r="7763">
      <c r="A7763" s="71" t="n"/>
    </row>
    <row r="7765">
      <c r="A7765" s="71" t="n"/>
    </row>
    <row r="7767">
      <c r="A7767" s="71" t="n"/>
    </row>
    <row r="7769">
      <c r="A7769" s="71" t="n"/>
    </row>
    <row r="7771">
      <c r="A7771" s="71" t="n"/>
    </row>
    <row r="7773">
      <c r="A7773" s="71" t="n"/>
    </row>
    <row r="7775">
      <c r="A7775" s="71" t="n"/>
    </row>
    <row r="7777">
      <c r="A7777" s="71" t="n"/>
    </row>
    <row r="7779">
      <c r="A7779" s="71" t="n"/>
    </row>
    <row r="7781">
      <c r="A7781" s="71" t="n"/>
    </row>
    <row r="7783">
      <c r="A7783" s="71" t="n"/>
    </row>
    <row r="7785">
      <c r="A7785" s="71" t="n"/>
    </row>
    <row r="7787">
      <c r="A7787" s="71" t="n"/>
    </row>
    <row r="7789">
      <c r="A7789" s="71" t="n"/>
    </row>
    <row r="7791">
      <c r="A7791" s="71" t="n"/>
    </row>
    <row r="7793">
      <c r="A7793" s="71" t="n"/>
    </row>
    <row r="7795">
      <c r="A7795" s="71" t="n"/>
    </row>
    <row r="7797">
      <c r="A7797" s="71" t="n"/>
    </row>
    <row r="7799">
      <c r="A7799" s="71" t="n"/>
    </row>
    <row r="7801">
      <c r="A7801" s="71" t="n"/>
    </row>
    <row r="7803">
      <c r="A7803" s="71" t="n"/>
    </row>
    <row r="7805">
      <c r="A7805" s="71" t="n"/>
    </row>
    <row r="7807">
      <c r="A7807" s="71" t="n"/>
    </row>
    <row r="7809">
      <c r="A7809" s="71" t="n"/>
    </row>
    <row r="7811">
      <c r="A7811" s="71" t="n"/>
    </row>
    <row r="7813">
      <c r="A7813" s="71" t="n"/>
    </row>
    <row r="7815">
      <c r="A7815" s="71" t="n"/>
    </row>
    <row r="7817">
      <c r="A7817" s="71" t="n"/>
    </row>
    <row r="7819">
      <c r="A7819" s="71" t="n"/>
    </row>
    <row r="7821">
      <c r="A7821" s="71" t="n"/>
    </row>
    <row r="7823">
      <c r="A7823" s="71" t="n"/>
    </row>
    <row r="7825">
      <c r="A7825" s="71" t="n"/>
    </row>
    <row r="7827">
      <c r="A7827" s="71" t="n"/>
    </row>
    <row r="7829">
      <c r="A7829" s="71" t="n"/>
    </row>
    <row r="7831">
      <c r="A7831" s="71" t="n"/>
    </row>
    <row r="7833">
      <c r="A7833" s="71" t="n"/>
    </row>
    <row r="7835">
      <c r="A7835" s="71" t="n"/>
    </row>
    <row r="7837">
      <c r="A7837" s="71" t="n"/>
    </row>
    <row r="7839">
      <c r="A7839" s="71" t="n"/>
    </row>
    <row r="7841">
      <c r="A7841" s="71" t="n"/>
    </row>
    <row r="7843">
      <c r="A7843" s="71" t="n"/>
    </row>
    <row r="7845">
      <c r="A7845" s="71" t="n"/>
    </row>
    <row r="7847">
      <c r="A7847" s="71" t="n"/>
    </row>
    <row r="7849">
      <c r="A7849" s="71" t="n"/>
    </row>
    <row r="7851">
      <c r="A7851" s="71" t="n"/>
    </row>
    <row r="7853">
      <c r="A7853" s="71" t="n"/>
    </row>
    <row r="7855">
      <c r="A7855" s="71" t="n"/>
    </row>
    <row r="7857">
      <c r="A7857" s="71" t="n"/>
    </row>
    <row r="7859">
      <c r="A7859" s="71" t="n"/>
    </row>
    <row r="7861">
      <c r="A7861" s="71" t="n"/>
    </row>
    <row r="7863">
      <c r="A7863" s="71" t="n"/>
    </row>
    <row r="7865">
      <c r="A7865" s="71" t="n"/>
    </row>
    <row r="7867">
      <c r="A7867" s="71" t="n"/>
    </row>
    <row r="7869">
      <c r="A7869" s="71" t="n"/>
    </row>
    <row r="7871">
      <c r="A7871" s="71" t="n"/>
    </row>
    <row r="7873">
      <c r="A7873" s="71" t="n"/>
    </row>
    <row r="7875">
      <c r="A7875" s="71" t="n"/>
    </row>
    <row r="7877">
      <c r="A7877" s="71" t="n"/>
    </row>
    <row r="7879">
      <c r="A7879" s="71" t="n"/>
    </row>
    <row r="7881">
      <c r="A7881" s="71" t="n"/>
    </row>
    <row r="7883">
      <c r="A7883" s="71" t="n"/>
    </row>
    <row r="7885">
      <c r="A7885" s="71" t="n"/>
    </row>
    <row r="7887">
      <c r="A7887" s="71" t="n"/>
    </row>
    <row r="7889">
      <c r="A7889" s="71" t="n"/>
    </row>
    <row r="7891">
      <c r="A7891" s="71" t="n"/>
    </row>
    <row r="7893">
      <c r="A7893" s="71" t="n"/>
    </row>
    <row r="7895">
      <c r="A7895" s="71" t="n"/>
    </row>
    <row r="7897">
      <c r="A7897" s="71" t="n"/>
    </row>
    <row r="7899">
      <c r="A7899" s="71" t="n"/>
    </row>
    <row r="7901">
      <c r="A7901" s="71" t="n"/>
    </row>
    <row r="7903">
      <c r="A7903" s="71" t="n"/>
    </row>
    <row r="7905">
      <c r="A7905" s="71" t="n"/>
    </row>
    <row r="7907">
      <c r="A7907" s="71" t="n"/>
    </row>
    <row r="7909">
      <c r="A7909" s="71" t="n"/>
    </row>
    <row r="7911">
      <c r="A7911" s="71" t="n"/>
    </row>
    <row r="7913">
      <c r="A7913" s="71" t="n"/>
    </row>
    <row r="7915">
      <c r="A7915" s="71" t="n"/>
    </row>
    <row r="7917">
      <c r="A7917" s="71" t="n"/>
    </row>
    <row r="7919">
      <c r="A7919" s="71" t="n"/>
    </row>
    <row r="7921">
      <c r="A7921" s="71" t="n"/>
    </row>
    <row r="7923">
      <c r="A7923" s="71" t="n"/>
    </row>
    <row r="7925">
      <c r="A7925" s="71" t="n"/>
    </row>
    <row r="7927">
      <c r="A7927" s="71" t="n"/>
    </row>
    <row r="7929">
      <c r="A7929" s="71" t="n"/>
    </row>
    <row r="7931">
      <c r="A7931" s="71" t="n"/>
    </row>
    <row r="7933">
      <c r="A7933" s="71" t="n"/>
    </row>
    <row r="7935">
      <c r="A7935" s="71" t="n"/>
    </row>
    <row r="7937">
      <c r="A7937" s="71" t="n"/>
    </row>
    <row r="7939">
      <c r="A7939" s="71" t="n"/>
    </row>
    <row r="7941">
      <c r="A7941" s="71" t="n"/>
    </row>
    <row r="7943">
      <c r="A7943" s="71" t="n"/>
    </row>
    <row r="7945">
      <c r="A7945" s="71" t="n"/>
    </row>
    <row r="7947">
      <c r="A7947" s="71" t="n"/>
    </row>
    <row r="7949">
      <c r="A7949" s="71" t="n"/>
    </row>
    <row r="7951">
      <c r="A7951" s="71" t="n"/>
    </row>
    <row r="7953">
      <c r="A7953" s="71" t="n"/>
    </row>
    <row r="7955">
      <c r="A7955" s="71" t="n"/>
    </row>
    <row r="7957">
      <c r="A7957" s="71" t="n"/>
    </row>
    <row r="7959">
      <c r="A7959" s="71" t="n"/>
    </row>
    <row r="7961">
      <c r="A7961" s="71" t="n"/>
    </row>
    <row r="7963">
      <c r="A7963" s="71" t="n"/>
    </row>
    <row r="7965">
      <c r="A7965" s="71" t="n"/>
    </row>
    <row r="7967">
      <c r="A7967" s="71" t="n"/>
    </row>
    <row r="7969">
      <c r="A7969" s="71" t="n"/>
    </row>
    <row r="7971">
      <c r="A7971" s="71" t="n"/>
    </row>
    <row r="7973">
      <c r="A7973" s="71" t="n"/>
    </row>
    <row r="7975">
      <c r="A7975" s="71" t="n"/>
    </row>
    <row r="7977">
      <c r="A7977" s="71" t="n"/>
    </row>
    <row r="7979">
      <c r="A7979" s="71" t="n"/>
    </row>
    <row r="7981">
      <c r="A7981" s="71" t="n"/>
    </row>
    <row r="7983">
      <c r="A7983" s="71" t="n"/>
    </row>
    <row r="7985">
      <c r="A7985" s="71" t="n"/>
    </row>
    <row r="7987">
      <c r="A7987" s="71" t="n"/>
    </row>
    <row r="7989">
      <c r="A7989" s="71" t="n"/>
    </row>
    <row r="7991">
      <c r="A7991" s="71" t="n"/>
    </row>
    <row r="7993">
      <c r="A7993" s="71" t="n"/>
    </row>
    <row r="7995">
      <c r="A7995" s="71" t="n"/>
    </row>
    <row r="7997">
      <c r="A7997" s="71" t="n"/>
    </row>
    <row r="7999">
      <c r="A7999" s="71" t="n"/>
    </row>
    <row r="8001">
      <c r="A8001" s="71" t="n"/>
    </row>
    <row r="8003">
      <c r="A8003" s="71" t="n"/>
    </row>
    <row r="8005">
      <c r="A8005" s="71" t="n"/>
    </row>
    <row r="8007">
      <c r="A8007" s="71" t="n"/>
    </row>
    <row r="8009">
      <c r="A8009" s="71" t="n"/>
    </row>
    <row r="8011">
      <c r="A8011" s="71" t="n"/>
    </row>
    <row r="8013">
      <c r="A8013" s="71" t="n"/>
    </row>
    <row r="8015">
      <c r="A8015" s="71" t="n"/>
    </row>
    <row r="8017">
      <c r="A8017" s="71" t="n"/>
    </row>
    <row r="8019">
      <c r="A8019" s="71" t="n"/>
    </row>
    <row r="8021">
      <c r="A8021" s="71" t="n"/>
    </row>
    <row r="8023">
      <c r="A8023" s="71" t="n"/>
    </row>
    <row r="8025">
      <c r="A8025" s="71" t="n"/>
    </row>
    <row r="8027">
      <c r="A8027" s="71" t="n"/>
    </row>
    <row r="8029">
      <c r="A8029" s="71" t="n"/>
    </row>
    <row r="8031">
      <c r="A8031" s="71" t="n"/>
    </row>
    <row r="8033">
      <c r="A8033" s="71" t="n"/>
    </row>
    <row r="8035">
      <c r="A8035" s="71" t="n"/>
    </row>
    <row r="8037">
      <c r="A8037" s="71" t="n"/>
    </row>
    <row r="8039">
      <c r="A8039" s="71" t="n"/>
    </row>
    <row r="8041">
      <c r="A8041" s="71" t="n"/>
    </row>
    <row r="8043">
      <c r="A8043" s="71" t="n"/>
    </row>
    <row r="8045">
      <c r="A8045" s="71" t="n"/>
    </row>
    <row r="8047">
      <c r="A8047" s="71" t="n"/>
    </row>
    <row r="8049">
      <c r="A8049" s="71" t="n"/>
    </row>
    <row r="8051">
      <c r="A8051" s="71" t="n"/>
    </row>
    <row r="8053">
      <c r="A8053" s="71" t="n"/>
    </row>
    <row r="8055">
      <c r="A8055" s="71" t="n"/>
    </row>
    <row r="8057">
      <c r="A8057" s="71" t="n"/>
    </row>
    <row r="8059">
      <c r="A8059" s="71" t="n"/>
    </row>
    <row r="8061">
      <c r="A8061" s="71" t="n"/>
    </row>
    <row r="8063">
      <c r="A8063" s="71" t="n"/>
    </row>
    <row r="8065">
      <c r="A8065" s="71" t="n"/>
    </row>
    <row r="8067">
      <c r="A8067" s="71" t="n"/>
    </row>
    <row r="8069">
      <c r="A8069" s="71" t="n"/>
    </row>
    <row r="8071">
      <c r="A8071" s="71" t="n"/>
    </row>
    <row r="8073">
      <c r="A8073" s="71" t="n"/>
    </row>
    <row r="8075">
      <c r="A8075" s="71" t="n"/>
    </row>
    <row r="8077">
      <c r="A8077" s="71" t="n"/>
    </row>
    <row r="8079">
      <c r="A8079" s="71" t="n"/>
    </row>
    <row r="8081">
      <c r="A8081" s="71" t="n"/>
    </row>
    <row r="8083">
      <c r="A8083" s="71" t="n"/>
    </row>
    <row r="8085">
      <c r="A8085" s="71" t="n"/>
    </row>
    <row r="8087">
      <c r="A8087" s="71" t="n"/>
    </row>
    <row r="8089">
      <c r="A8089" s="71" t="n"/>
    </row>
    <row r="8091">
      <c r="A8091" s="71" t="n"/>
    </row>
    <row r="8093">
      <c r="A8093" s="71" t="n"/>
    </row>
    <row r="8095">
      <c r="A8095" s="71" t="n"/>
    </row>
    <row r="8097">
      <c r="A8097" s="71" t="n"/>
    </row>
    <row r="8099">
      <c r="A8099" s="71" t="n"/>
    </row>
    <row r="8101">
      <c r="A8101" s="71" t="n"/>
    </row>
    <row r="8103">
      <c r="A8103" s="71" t="n"/>
    </row>
    <row r="8105">
      <c r="A8105" s="71" t="n"/>
    </row>
    <row r="8107">
      <c r="A8107" s="71" t="n"/>
    </row>
    <row r="8109">
      <c r="A8109" s="71" t="n"/>
    </row>
    <row r="8111">
      <c r="A8111" s="71" t="n"/>
    </row>
    <row r="8113">
      <c r="A8113" s="71" t="n"/>
    </row>
    <row r="8115">
      <c r="A8115" s="71" t="n"/>
    </row>
    <row r="8117">
      <c r="A8117" s="71" t="n"/>
    </row>
    <row r="8119">
      <c r="A8119" s="71" t="n"/>
    </row>
    <row r="8121">
      <c r="A8121" s="71" t="n"/>
    </row>
    <row r="8123">
      <c r="A8123" s="71" t="n"/>
    </row>
    <row r="8125">
      <c r="A8125" s="71" t="n"/>
    </row>
    <row r="8127">
      <c r="A8127" s="71" t="n"/>
    </row>
    <row r="8129">
      <c r="A8129" s="71" t="n"/>
    </row>
    <row r="8131">
      <c r="A8131" s="71" t="n"/>
    </row>
    <row r="8133">
      <c r="A8133" s="71" t="n"/>
    </row>
    <row r="8135">
      <c r="A8135" s="71" t="n"/>
    </row>
    <row r="8137">
      <c r="A8137" s="71" t="n"/>
    </row>
    <row r="8139">
      <c r="A8139" s="71" t="n"/>
    </row>
    <row r="8140">
      <c r="A8140" s="71" t="n"/>
    </row>
    <row r="8141">
      <c r="A8141" s="72" t="n"/>
      <c r="B8141" s="73" t="n"/>
      <c r="C8141" s="88" t="n"/>
    </row>
    <row r="8142">
      <c r="A8142" s="71" t="n"/>
    </row>
    <row r="8144">
      <c r="A8144" s="71" t="n"/>
    </row>
    <row r="8146">
      <c r="A8146" s="71" t="n"/>
    </row>
    <row r="8148">
      <c r="A8148" s="71" t="n"/>
    </row>
    <row r="8150">
      <c r="A8150" s="71" t="n"/>
    </row>
    <row r="8152">
      <c r="A8152" s="71" t="n"/>
    </row>
    <row r="8154">
      <c r="A8154" s="71" t="n"/>
    </row>
    <row r="8156">
      <c r="A8156" s="71" t="n"/>
    </row>
    <row r="8158">
      <c r="A8158" s="71" t="n"/>
    </row>
    <row r="8159">
      <c r="A8159" s="71" t="n"/>
    </row>
    <row r="8160">
      <c r="A8160" s="72" t="n"/>
      <c r="B8160" s="73" t="n"/>
      <c r="C8160" s="88" t="n"/>
    </row>
    <row r="8161">
      <c r="A8161" s="72" t="n"/>
    </row>
    <row r="8162">
      <c r="A8162" s="71" t="n"/>
    </row>
    <row r="8164">
      <c r="A8164" s="71" t="n"/>
    </row>
    <row r="8166">
      <c r="A8166" s="71" t="n"/>
    </row>
    <row r="8168">
      <c r="A8168" s="71" t="n"/>
    </row>
    <row r="8170">
      <c r="A8170" s="71" t="n"/>
    </row>
    <row r="8172">
      <c r="A8172" s="71" t="n"/>
    </row>
    <row r="8174">
      <c r="A8174" s="71" t="n"/>
    </row>
    <row r="8176">
      <c r="A8176" s="71" t="n"/>
    </row>
    <row r="8177">
      <c r="A8177" s="71" t="n"/>
    </row>
    <row r="8178">
      <c r="A8178" s="72" t="n"/>
      <c r="B8178" s="73" t="n"/>
      <c r="C8178" s="88" t="n"/>
    </row>
    <row r="8179">
      <c r="A8179" s="72" t="n"/>
    </row>
    <row r="8180">
      <c r="A8180" s="72" t="n"/>
      <c r="B8180" s="73" t="n"/>
      <c r="C8180" s="88" t="n"/>
      <c r="D8180" s="78" t="n"/>
    </row>
    <row r="8181">
      <c r="A8181" s="72" t="n"/>
    </row>
    <row r="8182">
      <c r="A8182" s="72" t="n"/>
    </row>
    <row r="8183">
      <c r="A8183" s="72" t="n"/>
      <c r="B8183" s="73" t="n"/>
      <c r="C8183" s="88" t="n"/>
    </row>
    <row r="8184">
      <c r="A8184" s="72" t="n"/>
    </row>
    <row r="8185">
      <c r="A8185" s="72" t="n"/>
    </row>
    <row r="8186">
      <c r="A8186" s="72" t="n"/>
    </row>
    <row r="8187">
      <c r="A8187" s="72" t="n"/>
    </row>
    <row r="8188">
      <c r="A8188" s="72" t="n"/>
      <c r="B8188" s="73" t="n"/>
      <c r="C8188" s="88" t="n"/>
    </row>
    <row r="8189">
      <c r="A8189" s="72" t="n"/>
    </row>
    <row r="8190">
      <c r="A8190" s="72" t="n"/>
    </row>
    <row r="8191">
      <c r="A8191" s="72" t="n"/>
      <c r="B8191" s="73" t="n"/>
      <c r="C8191" s="88" t="n"/>
      <c r="D8191" s="78" t="n"/>
    </row>
    <row r="8192">
      <c r="A8192" s="72" t="n"/>
    </row>
    <row r="8193">
      <c r="A8193" s="71" t="n"/>
    </row>
    <row r="8195">
      <c r="A8195" s="71" t="n"/>
    </row>
    <row r="8197">
      <c r="A8197" s="71" t="n"/>
    </row>
    <row r="8199">
      <c r="A8199" s="71" t="n"/>
    </row>
    <row r="8201">
      <c r="A8201" s="71" t="n"/>
    </row>
    <row r="8203">
      <c r="A8203" s="71" t="n"/>
    </row>
    <row r="8204">
      <c r="A8204" s="71" t="n"/>
    </row>
    <row r="8205">
      <c r="A8205" s="72" t="n"/>
      <c r="B8205" s="73" t="n"/>
      <c r="C8205" s="88" t="n"/>
      <c r="D8205" s="78" t="n"/>
    </row>
    <row r="8206">
      <c r="A8206" s="72" t="n"/>
    </row>
    <row r="8207">
      <c r="A8207" s="72" t="n"/>
      <c r="B8207" s="73" t="n"/>
      <c r="C8207" s="88" t="n"/>
    </row>
    <row r="8208">
      <c r="A8208" s="72" t="n"/>
    </row>
    <row r="8209">
      <c r="A8209" s="72" t="n"/>
      <c r="B8209" s="73" t="n"/>
      <c r="C8209" s="88" t="n"/>
    </row>
    <row r="8210">
      <c r="A8210" s="72" t="n"/>
    </row>
    <row r="8211">
      <c r="A8211" s="72" t="n"/>
    </row>
    <row r="8212">
      <c r="A8212" s="72" t="n"/>
      <c r="B8212" s="73" t="n"/>
      <c r="C8212" s="88" t="n"/>
    </row>
    <row r="8213">
      <c r="A8213" s="72" t="n"/>
    </row>
    <row r="8214">
      <c r="A8214" s="71" t="n"/>
    </row>
    <row r="8216">
      <c r="A8216" s="71" t="n"/>
    </row>
    <row r="8218">
      <c r="A8218" s="71" t="n"/>
    </row>
    <row r="8220">
      <c r="A8220" s="71" t="n"/>
    </row>
  </sheetData>
  <autoFilter ref="A1:D8220">
    <sortState ref="A2:D8220">
      <sortCondition descending="1" ref="B1:B8220"/>
    </sortState>
  </autoFilter>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C47"/>
  <sheetViews>
    <sheetView workbookViewId="0">
      <selection activeCell="A1" sqref="A1"/>
    </sheetView>
    <sheetView workbookViewId="1">
      <selection activeCell="A1" sqref="A1"/>
    </sheetView>
  </sheetViews>
  <sheetFormatPr baseColWidth="8" defaultColWidth="8.796875" defaultRowHeight="13.8"/>
  <cols>
    <col width="32.69921875" bestFit="1" customWidth="1" min="1" max="1"/>
    <col width="25.796875" bestFit="1" customWidth="1" min="2" max="2"/>
    <col width="10.19921875" bestFit="1" customWidth="1" min="3" max="3"/>
  </cols>
  <sheetData>
    <row r="1">
      <c r="A1" s="4" t="inlineStr">
        <is>
          <t>Abbot Cars</t>
        </is>
      </c>
      <c r="B1" s="4" t="inlineStr">
        <is>
          <t>ms Abbot Cars</t>
        </is>
      </c>
      <c r="C1" s="10" t="n">
        <v>41568</v>
      </c>
    </row>
    <row r="2">
      <c r="A2" s="4" t="inlineStr">
        <is>
          <t>Spannerworx</t>
        </is>
      </c>
      <c r="B2" s="4" t="inlineStr">
        <is>
          <t>ms Alpha Romeo Trevor Tuck</t>
        </is>
      </c>
      <c r="C2" s="10" t="n">
        <v>42032</v>
      </c>
    </row>
    <row r="3">
      <c r="A3" s="4" t="inlineStr">
        <is>
          <t>Allwagen</t>
        </is>
      </c>
      <c r="B3" s="4" t="inlineStr">
        <is>
          <t>ms Allwagen</t>
        </is>
      </c>
      <c r="C3" s="10" t="n">
        <v>44376</v>
      </c>
    </row>
    <row r="4">
      <c r="A4" s="4" t="inlineStr">
        <is>
          <t>Exclusive Conversions</t>
        </is>
      </c>
      <c r="B4" s="4" t="inlineStr">
        <is>
          <t>ms Anton Decker</t>
        </is>
      </c>
      <c r="C4" s="10" t="n"/>
    </row>
    <row r="5">
      <c r="A5" s="4" t="inlineStr">
        <is>
          <t>Auby Boys Racing</t>
        </is>
      </c>
      <c r="B5" s="4" t="inlineStr">
        <is>
          <t>ms Auby Boys Racing</t>
        </is>
      </c>
      <c r="C5" s="10" t="n">
        <v>41002</v>
      </c>
    </row>
    <row r="6">
      <c r="A6" s="4" t="inlineStr">
        <is>
          <t>Auto Associates</t>
        </is>
      </c>
      <c r="B6" s="4" t="inlineStr">
        <is>
          <t>ms Auto Associates</t>
        </is>
      </c>
      <c r="C6" s="10" t="n">
        <v>41724</v>
      </c>
    </row>
    <row r="7">
      <c r="A7" s="4" t="inlineStr">
        <is>
          <t>AutoCom</t>
        </is>
      </c>
      <c r="B7" s="4" t="inlineStr">
        <is>
          <t>ms AutoCom</t>
        </is>
      </c>
      <c r="C7" s="10" t="n">
        <v>41574</v>
      </c>
    </row>
    <row r="8">
      <c r="A8" s="4" t="inlineStr">
        <is>
          <t>Autohaus Angel</t>
        </is>
      </c>
      <c r="B8" s="4" t="inlineStr">
        <is>
          <t>ms Autohaus Angel</t>
        </is>
      </c>
      <c r="C8" s="10" t="n">
        <v>43735</v>
      </c>
    </row>
    <row r="9">
      <c r="A9" s="4" t="inlineStr">
        <is>
          <t>Azoic Panelbeaters</t>
        </is>
      </c>
      <c r="B9" s="4" t="inlineStr">
        <is>
          <t>ms Azoic</t>
        </is>
      </c>
      <c r="C9" s="10" t="n">
        <v>42563</v>
      </c>
    </row>
    <row r="10">
      <c r="A10" s="4" t="inlineStr">
        <is>
          <t>Seven mile trading 424 cc T/A B Speed</t>
        </is>
      </c>
      <c r="B10" s="4" t="inlineStr">
        <is>
          <t>ms B Speed</t>
        </is>
      </c>
      <c r="C10" s="10" t="n">
        <v>44440</v>
      </c>
    </row>
    <row r="11">
      <c r="A11" s="4" t="inlineStr">
        <is>
          <t>Randfontein Paneelkloppers</t>
        </is>
      </c>
      <c r="B11" s="4" t="inlineStr">
        <is>
          <t>ms Ben Morgenrood</t>
        </is>
      </c>
      <c r="C11" s="10" t="n">
        <v>40751</v>
      </c>
    </row>
    <row r="12">
      <c r="A12" s="4" t="inlineStr">
        <is>
          <t>Wayne Niz</t>
        </is>
      </c>
      <c r="B12" s="4" t="inlineStr">
        <is>
          <t>ms BMW  Wayne Niz</t>
        </is>
      </c>
      <c r="C12" s="10" t="n">
        <v>41225</v>
      </c>
    </row>
    <row r="13">
      <c r="A13" s="4" t="inlineStr">
        <is>
          <t>Evolution 2 Motorsport</t>
        </is>
      </c>
      <c r="B13" s="4" t="inlineStr">
        <is>
          <t>ms BMW Kaye Eddie</t>
        </is>
      </c>
      <c r="C13" s="10" t="n">
        <v>38182</v>
      </c>
    </row>
    <row r="14">
      <c r="A14" s="4" t="inlineStr">
        <is>
          <t>BMW Montana</t>
        </is>
      </c>
      <c r="B14" s="4" t="inlineStr">
        <is>
          <t>ms BMW Montana</t>
        </is>
      </c>
      <c r="C14" s="10" t="n">
        <v>44235</v>
      </c>
    </row>
    <row r="15">
      <c r="A15" s="4" t="inlineStr">
        <is>
          <t>BMW South Africa (SA) (Pty) Ltd</t>
        </is>
      </c>
      <c r="B15" s="4" t="inlineStr">
        <is>
          <t>ms BMW Motorsport</t>
        </is>
      </c>
      <c r="C15" s="10" t="n">
        <v>39447</v>
      </c>
    </row>
    <row r="16">
      <c r="A16" s="4" t="inlineStr">
        <is>
          <t>Riaan</t>
        </is>
      </c>
      <c r="B16" s="4" t="inlineStr">
        <is>
          <t>ms BMW Riaan</t>
        </is>
      </c>
      <c r="C16" s="10" t="n">
        <v>39447</v>
      </c>
    </row>
    <row r="17">
      <c r="A17" s="4" t="inlineStr">
        <is>
          <t>C3</t>
        </is>
      </c>
      <c r="B17" s="4" t="inlineStr">
        <is>
          <t>ms C3 ferrari</t>
        </is>
      </c>
      <c r="C17" s="10" t="n">
        <v>41533</v>
      </c>
    </row>
    <row r="18">
      <c r="A18" s="4" t="inlineStr">
        <is>
          <t>Carello Auto</t>
        </is>
      </c>
      <c r="B18" s="4" t="inlineStr">
        <is>
          <t>ms Carello Auto</t>
        </is>
      </c>
      <c r="C18" s="10" t="n">
        <v>43319</v>
      </c>
    </row>
    <row r="19">
      <c r="A19" s="4" t="inlineStr">
        <is>
          <t>Tilt Advisory (Pty) Ltd</t>
        </is>
      </c>
      <c r="B19" s="4" t="inlineStr">
        <is>
          <t>ms Chris Budnik</t>
        </is>
      </c>
      <c r="C19" s="10" t="n">
        <v>45036</v>
      </c>
    </row>
    <row r="20">
      <c r="A20" s="4" t="inlineStr">
        <is>
          <t>Exceed</t>
        </is>
      </c>
      <c r="B20" s="4" t="inlineStr">
        <is>
          <t>ms Christo Lotter</t>
        </is>
      </c>
      <c r="C20" s="10" t="n">
        <v>41292</v>
      </c>
    </row>
    <row r="21">
      <c r="A21" s="4" t="inlineStr">
        <is>
          <t>City Used Spares</t>
        </is>
      </c>
      <c r="B21" s="4" t="inlineStr">
        <is>
          <t>ms City Used Spares</t>
        </is>
      </c>
      <c r="C21" s="10" t="n">
        <v>40991</v>
      </c>
    </row>
    <row r="22">
      <c r="A22" s="4" t="inlineStr">
        <is>
          <t>Colt &amp; Toyota Spares</t>
        </is>
      </c>
      <c r="B22" s="4" t="inlineStr">
        <is>
          <t>ms Colt &amp; Toyota Spares</t>
        </is>
      </c>
      <c r="C22" s="10" t="n">
        <v>45264</v>
      </c>
    </row>
    <row r="23">
      <c r="A23" s="4" t="inlineStr">
        <is>
          <t>Comsol Networks (Pty) Ltd</t>
        </is>
      </c>
      <c r="B23" s="4" t="inlineStr">
        <is>
          <t>ms Comsol</t>
        </is>
      </c>
      <c r="C23" s="10" t="n">
        <v>43180</v>
      </c>
    </row>
    <row r="24">
      <c r="A24" s="4" t="inlineStr">
        <is>
          <t>Curvent International Pty Ltd</t>
        </is>
      </c>
      <c r="B24" s="4" t="inlineStr">
        <is>
          <t>ms Curvent Ferrari</t>
        </is>
      </c>
      <c r="C24" s="10" t="n">
        <v>41394</v>
      </c>
    </row>
    <row r="25">
      <c r="A25" s="4" t="inlineStr">
        <is>
          <t>The Customs Shop</t>
        </is>
      </c>
      <c r="B25" s="4" t="inlineStr">
        <is>
          <t>ms Custom shop</t>
        </is>
      </c>
      <c r="C25" s="10" t="n">
        <v>44062</v>
      </c>
    </row>
    <row r="26">
      <c r="A26" s="4" t="inlineStr">
        <is>
          <t>Danlou Motors</t>
        </is>
      </c>
      <c r="B26" s="4" t="inlineStr">
        <is>
          <t>ms Danlou Motors</t>
        </is>
      </c>
      <c r="C26" s="10" t="n">
        <v>40263</v>
      </c>
    </row>
    <row r="27">
      <c r="A27" s="4" t="inlineStr">
        <is>
          <t>Demac Auto</t>
        </is>
      </c>
      <c r="B27" s="4" t="inlineStr">
        <is>
          <t>ms Derek Minnie</t>
        </is>
      </c>
      <c r="C27" s="10" t="n">
        <v>45106</v>
      </c>
    </row>
    <row r="28">
      <c r="A28" s="4" t="inlineStr">
        <is>
          <t>Dynamic Tyre Solutions</t>
        </is>
      </c>
      <c r="B28" s="4" t="inlineStr">
        <is>
          <t>ms Dynamic Tyre Solutions</t>
        </is>
      </c>
      <c r="C28" s="10" t="n">
        <v>44081</v>
      </c>
    </row>
    <row r="29">
      <c r="A29" s="4" t="inlineStr">
        <is>
          <t>A &amp; M Office Equipment</t>
        </is>
      </c>
      <c r="B29" s="4" t="inlineStr">
        <is>
          <t>ms Ernest E Type Jag</t>
        </is>
      </c>
      <c r="C29" s="10" t="n">
        <v>40421</v>
      </c>
    </row>
    <row r="30">
      <c r="A30" s="4" t="inlineStr">
        <is>
          <t>Evolution * 2 Motorsport</t>
        </is>
      </c>
      <c r="B30" s="4" t="inlineStr">
        <is>
          <t>ms evolution 2 bmw kay eddi</t>
        </is>
      </c>
      <c r="C30" s="10" t="n">
        <v>43504</v>
      </c>
    </row>
    <row r="31">
      <c r="A31" s="4" t="inlineStr">
        <is>
          <t>Exclusive Autos</t>
        </is>
      </c>
      <c r="B31" s="4" t="inlineStr">
        <is>
          <t>ms Exclusive Autos</t>
        </is>
      </c>
      <c r="C31" s="10" t="n">
        <v>41416</v>
      </c>
    </row>
    <row r="32">
      <c r="A32" s="4" t="inlineStr">
        <is>
          <t>FAST DEVELOPMENT CC</t>
        </is>
      </c>
      <c r="B32" s="4" t="inlineStr">
        <is>
          <t>ms FAST DEVELOPMENT CC</t>
        </is>
      </c>
      <c r="C32" s="10" t="n">
        <v>45855</v>
      </c>
    </row>
    <row r="33">
      <c r="A33" s="4" t="inlineStr">
        <is>
          <t>Flawless Auto</t>
        </is>
      </c>
      <c r="B33" s="4" t="inlineStr">
        <is>
          <t>ms Flawless Auto</t>
        </is>
      </c>
      <c r="C33" s="10" t="n">
        <v>40877</v>
      </c>
    </row>
    <row r="34">
      <c r="A34" s="4" t="inlineStr">
        <is>
          <t>Stanger Auto</t>
        </is>
      </c>
      <c r="B34" s="4" t="inlineStr">
        <is>
          <t>ms Ford Janus</t>
        </is>
      </c>
      <c r="C34" s="10" t="n">
        <v>41755</v>
      </c>
    </row>
    <row r="35">
      <c r="A35" s="4" t="inlineStr">
        <is>
          <t>Vaalshow Group PTY LTD</t>
        </is>
      </c>
      <c r="B35" s="4" t="inlineStr">
        <is>
          <t>ms Fynie</t>
        </is>
      </c>
      <c r="C35" s="10" t="n">
        <v>44097</v>
      </c>
    </row>
    <row r="36">
      <c r="A36" s="4" t="inlineStr">
        <is>
          <t>Turnmill Proquip Engineering</t>
        </is>
      </c>
      <c r="B36" s="4" t="inlineStr">
        <is>
          <t>ms Fynie Turnmill</t>
        </is>
      </c>
      <c r="C36" s="10" t="n">
        <v>45610</v>
      </c>
    </row>
    <row r="37">
      <c r="A37" s="4" t="inlineStr">
        <is>
          <t>G&amp;H Racing</t>
        </is>
      </c>
      <c r="B37" s="4" t="inlineStr">
        <is>
          <t>ms G&amp;H Racing</t>
        </is>
      </c>
      <c r="C37" s="10" t="n">
        <v>45168</v>
      </c>
    </row>
    <row r="38">
      <c r="A38" s="4" t="inlineStr">
        <is>
          <t>GAP Motorsport</t>
        </is>
      </c>
      <c r="B38" s="4" t="inlineStr">
        <is>
          <t>ms GAP</t>
        </is>
      </c>
      <c r="C38" s="10" t="n">
        <v>45223</v>
      </c>
    </row>
    <row r="39">
      <c r="A39" s="4" t="inlineStr">
        <is>
          <t>Gawie Marais</t>
        </is>
      </c>
      <c r="B39" s="4" t="inlineStr">
        <is>
          <t>ms Gawie Marais</t>
        </is>
      </c>
      <c r="C39" s="10" t="n">
        <v>42089</v>
      </c>
    </row>
    <row r="40">
      <c r="A40" s="4" t="inlineStr">
        <is>
          <t>SS Telecoms (Pty) Ltd</t>
        </is>
      </c>
      <c r="B40" s="4" t="inlineStr">
        <is>
          <t>ms george smalberger</t>
        </is>
      </c>
      <c r="C40" s="10" t="n">
        <v>42026</v>
      </c>
    </row>
    <row r="41">
      <c r="A41" s="4" t="inlineStr">
        <is>
          <t>Goldwagen Brits</t>
        </is>
      </c>
      <c r="B41" s="4" t="inlineStr">
        <is>
          <t>ms goldwagen Chico</t>
        </is>
      </c>
      <c r="C41" s="10" t="n">
        <v>41984</v>
      </c>
    </row>
    <row r="42">
      <c r="A42" s="4" t="inlineStr">
        <is>
          <t>Grand Control Pty (Ltd)</t>
        </is>
      </c>
      <c r="B42" s="4" t="inlineStr">
        <is>
          <t>ms Grand Control Pty (Ltd)</t>
        </is>
      </c>
      <c r="C42" s="10" t="n">
        <v>45239</v>
      </c>
    </row>
    <row r="43">
      <c r="A43" s="4" t="inlineStr">
        <is>
          <t>GT Tamping cc</t>
        </is>
      </c>
      <c r="B43" s="4" t="inlineStr">
        <is>
          <t>ms GT Tamping</t>
        </is>
      </c>
      <c r="C43" s="10" t="n">
        <v>40584</v>
      </c>
    </row>
    <row r="44">
      <c r="A44" s="4" t="inlineStr">
        <is>
          <t>GT Clubsport</t>
        </is>
      </c>
      <c r="B44" s="4" t="inlineStr">
        <is>
          <t>ms gtclubsport</t>
        </is>
      </c>
      <c r="C44" s="10" t="n">
        <v>43083</v>
      </c>
    </row>
    <row r="45">
      <c r="A45" s="4" t="inlineStr">
        <is>
          <t>SVR (Pty) Ltd</t>
        </is>
      </c>
      <c r="B45" s="4" t="inlineStr">
        <is>
          <t>ms Hallspeed</t>
        </is>
      </c>
      <c r="C45" s="10" t="n">
        <v>45730</v>
      </c>
    </row>
    <row r="46">
      <c r="A46" s="4" t="inlineStr">
        <is>
          <t>Haupt Racing</t>
        </is>
      </c>
      <c r="B46" s="4" t="inlineStr">
        <is>
          <t>ms Haupt Racing</t>
        </is>
      </c>
      <c r="C46" s="10" t="n">
        <v>45398</v>
      </c>
    </row>
    <row r="47">
      <c r="A47" s="4" t="inlineStr">
        <is>
          <t>JSR</t>
        </is>
      </c>
      <c r="B47" s="4" t="inlineStr">
        <is>
          <t>ms Honda JSR</t>
        </is>
      </c>
      <c r="C47" s="10" t="n">
        <v>40581</v>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I1000"/>
  <sheetViews>
    <sheetView workbookViewId="0">
      <selection activeCell="A4" sqref="A4"/>
    </sheetView>
    <sheetView workbookViewId="1">
      <selection activeCell="A1" sqref="A1"/>
    </sheetView>
  </sheetViews>
  <sheetFormatPr baseColWidth="8" defaultColWidth="8.69921875" defaultRowHeight="13.8"/>
  <cols>
    <col width="4.69921875" bestFit="1" customWidth="1" min="1" max="1"/>
    <col width="38.19921875" bestFit="1" customWidth="1" min="2" max="2"/>
    <col width="18.19921875" customWidth="1" min="3" max="3"/>
    <col width="26.69921875" customWidth="1" min="4" max="5"/>
    <col width="46.5" customWidth="1" min="6" max="6"/>
    <col width="17.19921875" customWidth="1" style="18" min="7" max="7"/>
    <col width="30.69921875" customWidth="1" min="8" max="8"/>
    <col width="12.19921875" bestFit="1" customWidth="1" min="9" max="9"/>
  </cols>
  <sheetData>
    <row r="1">
      <c r="A1" s="7" t="inlineStr">
        <is>
          <t>C_ID</t>
        </is>
      </c>
      <c r="B1" s="3" t="inlineStr">
        <is>
          <t>Company</t>
        </is>
      </c>
      <c r="C1" s="7" t="inlineStr">
        <is>
          <t>Status</t>
        </is>
      </c>
      <c r="D1" t="inlineStr">
        <is>
          <t>FirstName</t>
        </is>
      </c>
      <c r="E1" t="inlineStr">
        <is>
          <t>Surname</t>
        </is>
      </c>
      <c r="F1" t="inlineStr">
        <is>
          <t>Position</t>
        </is>
      </c>
      <c r="G1" s="20" t="inlineStr">
        <is>
          <t>Cellnumber</t>
        </is>
      </c>
      <c r="H1" t="inlineStr">
        <is>
          <t>Email</t>
        </is>
      </c>
      <c r="I1" t="inlineStr">
        <is>
          <t>Landline</t>
        </is>
      </c>
    </row>
    <row r="2">
      <c r="A2" s="6">
        <f>IFERROR(VLOOKUP($B2,Company_Cat!$B$2:$E$623,2,FALSE),"")</f>
        <v/>
      </c>
      <c r="B2" s="4" t="inlineStr">
        <is>
          <t>Flightsure</t>
        </is>
      </c>
      <c r="C2" s="6">
        <f>IFERROR(VLOOKUP($B2,Company_Cat!$B$2:$H$623,6,FALSE),"")</f>
        <v/>
      </c>
      <c r="D2" t="inlineStr">
        <is>
          <t>Dorrien Andrews</t>
        </is>
      </c>
      <c r="F2" t="inlineStr">
        <is>
          <t>Director</t>
        </is>
      </c>
      <c r="G2" s="18" t="n">
        <v>27832269672</v>
      </c>
      <c r="H2" t="inlineStr">
        <is>
          <t>dorrien@flightsure.co.za</t>
        </is>
      </c>
    </row>
    <row r="3">
      <c r="A3" s="6">
        <f>IFERROR(VLOOKUP($B3,Company_Cat!$B$2:$E$623,2,FALSE),"")</f>
        <v/>
      </c>
      <c r="B3" s="4" t="inlineStr">
        <is>
          <t>Flightsure</t>
        </is>
      </c>
      <c r="C3" s="6">
        <f>IFERROR(VLOOKUP($B3,Company_Cat!$B$2:$H$623,6,FALSE),"")</f>
        <v/>
      </c>
      <c r="D3" t="inlineStr">
        <is>
          <t>Mandy Coetzer</t>
        </is>
      </c>
      <c r="F3" t="inlineStr">
        <is>
          <t>Director</t>
        </is>
      </c>
      <c r="G3" s="18" t="n">
        <v>27824483643</v>
      </c>
      <c r="H3" t="inlineStr">
        <is>
          <t>mandy@flightsure.co.za</t>
        </is>
      </c>
    </row>
    <row r="4">
      <c r="A4" s="6">
        <f>IFERROR(VLOOKUP($B4,Company_Cat!$B$2:$E$623,2,FALSE),"")</f>
        <v/>
      </c>
      <c r="B4" s="4" t="inlineStr">
        <is>
          <t>Flightsure</t>
        </is>
      </c>
      <c r="C4" s="6">
        <f>IFERROR(VLOOKUP($B4,Company_Cat!$B$2:$H$623,6,FALSE),"")</f>
        <v/>
      </c>
      <c r="D4" t="inlineStr">
        <is>
          <t>Gaile Mendes</t>
        </is>
      </c>
      <c r="F4" t="inlineStr">
        <is>
          <t>Director</t>
        </is>
      </c>
      <c r="G4" s="18" t="n">
        <v>27828501857</v>
      </c>
      <c r="H4" t="inlineStr">
        <is>
          <t>gaile@flightsure.co.za</t>
        </is>
      </c>
    </row>
    <row r="5">
      <c r="A5" s="6">
        <f>IFERROR(VLOOKUP($B5,Company_Cat!$B$2:$E$623,2,FALSE),"")</f>
        <v/>
      </c>
      <c r="B5" s="4" t="inlineStr">
        <is>
          <t>Flightsure</t>
        </is>
      </c>
      <c r="C5" s="6">
        <f>IFERROR(VLOOKUP($B5,Company_Cat!$B$2:$H$623,6,FALSE),"")</f>
        <v/>
      </c>
      <c r="D5" t="inlineStr">
        <is>
          <t>Glenn Andrews</t>
        </is>
      </c>
      <c r="F5" t="inlineStr">
        <is>
          <t>Director</t>
        </is>
      </c>
      <c r="G5" s="18" t="n">
        <v>27832597581</v>
      </c>
    </row>
    <row r="6">
      <c r="A6" s="6">
        <f>IFERROR(VLOOKUP($B6,Company_Cat!$B$2:$E$623,2,FALSE),"")</f>
        <v/>
      </c>
      <c r="B6" s="4" t="inlineStr">
        <is>
          <t>Arc Aviation (Aircraft Risk Company)</t>
        </is>
      </c>
      <c r="C6" s="6">
        <f>IFERROR(VLOOKUP($B6,Company_Cat!$B$2:$H$623,6,FALSE),"")</f>
        <v/>
      </c>
      <c r="D6" s="12" t="inlineStr">
        <is>
          <t>Stuart Farquhar</t>
        </is>
      </c>
      <c r="E6" s="12" t="n"/>
      <c r="F6" s="12" t="inlineStr">
        <is>
          <t>MD</t>
        </is>
      </c>
      <c r="G6" s="18" t="n">
        <v>27824432633</v>
      </c>
      <c r="H6" t="inlineStr">
        <is>
          <t>stuart@arcaviation.co.za</t>
        </is>
      </c>
    </row>
    <row r="7">
      <c r="A7" s="6">
        <f>IFERROR(VLOOKUP($B7,Company_Cat!$B$2:$E$623,2,FALSE),"")</f>
        <v/>
      </c>
      <c r="B7" s="4" t="inlineStr">
        <is>
          <t>Arc Aviation (Aircraft Risk Company)</t>
        </is>
      </c>
      <c r="C7" s="6">
        <f>IFERROR(VLOOKUP($B7,Company_Cat!$B$2:$H$623,6,FALSE),"")</f>
        <v/>
      </c>
      <c r="D7" s="12" t="inlineStr">
        <is>
          <t>Darren Gallias</t>
        </is>
      </c>
      <c r="E7" s="12" t="n"/>
      <c r="F7" s="12" t="inlineStr">
        <is>
          <t>Director - Claims Manager</t>
        </is>
      </c>
      <c r="G7" s="18" t="n">
        <v>27833777190</v>
      </c>
      <c r="H7" t="inlineStr">
        <is>
          <t>darren@arcaviation.co.za</t>
        </is>
      </c>
    </row>
    <row r="8">
      <c r="A8" s="6">
        <f>IFERROR(VLOOKUP($B8,Company_Cat!$B$2:$E$623,2,FALSE),"")</f>
        <v/>
      </c>
      <c r="B8" s="4" t="inlineStr">
        <is>
          <t>Arc Aviation (Aircraft Risk Company)</t>
        </is>
      </c>
      <c r="C8" s="6">
        <f>IFERROR(VLOOKUP($B8,Company_Cat!$B$2:$H$623,6,FALSE),"")</f>
        <v/>
      </c>
      <c r="D8" s="12" t="inlineStr">
        <is>
          <t>Dylan Knight</t>
        </is>
      </c>
      <c r="E8" s="12" t="n"/>
      <c r="F8" s="12" t="inlineStr">
        <is>
          <t>New Business Broker</t>
        </is>
      </c>
      <c r="G8" s="18" t="n">
        <v>27725290273</v>
      </c>
      <c r="H8" t="inlineStr">
        <is>
          <t>dylan@arcaviation.co.za</t>
        </is>
      </c>
    </row>
    <row r="9">
      <c r="A9" s="6">
        <f>IFERROR(VLOOKUP($B9,Company_Cat!$B$2:$E$623,2,FALSE),"")</f>
        <v/>
      </c>
      <c r="B9" s="4" t="inlineStr">
        <is>
          <t>Arc Aviation (Aircraft Risk Company)</t>
        </is>
      </c>
      <c r="C9" s="6">
        <f>IFERROR(VLOOKUP($B9,Company_Cat!$B$2:$H$623,6,FALSE),"")</f>
        <v/>
      </c>
      <c r="D9" t="inlineStr">
        <is>
          <t>Tshidi Ntsoseng</t>
        </is>
      </c>
      <c r="F9" t="inlineStr">
        <is>
          <t>Accounts</t>
        </is>
      </c>
      <c r="G9" s="18" t="n">
        <v>27734323112</v>
      </c>
      <c r="H9" t="inlineStr">
        <is>
          <t>tshidi@arcaviation.co.za</t>
        </is>
      </c>
    </row>
    <row r="10">
      <c r="A10" s="6">
        <f>IFERROR(VLOOKUP($B10,Company_Cat!$B$2:$E$623,2,FALSE),"")</f>
        <v/>
      </c>
      <c r="B10" s="4" t="inlineStr">
        <is>
          <t>Arc Aviation (Aircraft Risk Company)</t>
        </is>
      </c>
      <c r="C10" s="6">
        <f>IFERROR(VLOOKUP($B10,Company_Cat!$B$2:$H$623,6,FALSE),"")</f>
        <v/>
      </c>
      <c r="D10" t="inlineStr">
        <is>
          <t>Clement Sibiya</t>
        </is>
      </c>
      <c r="F10" t="inlineStr">
        <is>
          <t>Accounts Executive</t>
        </is>
      </c>
      <c r="G10" s="18" t="n">
        <v>27713391251</v>
      </c>
      <c r="H10" t="inlineStr">
        <is>
          <t>clement@arcaviation.co.za</t>
        </is>
      </c>
    </row>
    <row r="11">
      <c r="A11" s="6">
        <f>IFERROR(VLOOKUP($B11,Company_Cat!$B$2:$E$623,2,FALSE),"")</f>
        <v/>
      </c>
      <c r="B11" s="4" t="inlineStr">
        <is>
          <t>Arc Aviation (Aircraft Risk Company)</t>
        </is>
      </c>
      <c r="C11" s="6">
        <f>IFERROR(VLOOKUP($B11,Company_Cat!$B$2:$H$623,6,FALSE),"")</f>
        <v/>
      </c>
      <c r="D11" t="inlineStr">
        <is>
          <t>Janice Ray</t>
        </is>
      </c>
      <c r="F11" t="inlineStr">
        <is>
          <t>Senior Accounts Exec</t>
        </is>
      </c>
      <c r="G11" s="18" t="n">
        <v>27832926917</v>
      </c>
      <c r="H11" t="inlineStr">
        <is>
          <t>janice@arcaviation.co.za</t>
        </is>
      </c>
    </row>
    <row r="12">
      <c r="A12" s="6">
        <f>IFERROR(VLOOKUP($B12,Company_Cat!$B$2:$E$623,2,FALSE),"")</f>
        <v/>
      </c>
      <c r="B12" s="4" t="inlineStr">
        <is>
          <t>Arc Aviation (Aircraft Risk Company)</t>
        </is>
      </c>
      <c r="C12" s="6">
        <f>IFERROR(VLOOKUP($B12,Company_Cat!$B$2:$H$623,6,FALSE),"")</f>
        <v/>
      </c>
      <c r="D12" t="inlineStr">
        <is>
          <t>Janette Harris</t>
        </is>
      </c>
      <c r="F12" t="inlineStr">
        <is>
          <t>Senior Accounts &amp; Compliance Manager</t>
        </is>
      </c>
      <c r="G12" s="18" t="n">
        <v>27761580797</v>
      </c>
      <c r="H12" t="inlineStr">
        <is>
          <t>janette@arcaviation.co.za</t>
        </is>
      </c>
    </row>
    <row r="13">
      <c r="A13" s="6">
        <f>IFERROR(VLOOKUP($B13,Company_Cat!$B$2:$E$623,2,FALSE),"")</f>
        <v/>
      </c>
      <c r="B13" s="4" t="inlineStr">
        <is>
          <t>iTOO Special Risks (Hollard)</t>
        </is>
      </c>
      <c r="C13" s="6">
        <f>IFERROR(VLOOKUP($B13,Company_Cat!$B$2:$H$623,6,FALSE),"")</f>
        <v/>
      </c>
      <c r="D13" t="inlineStr">
        <is>
          <t>Lorenzio Bettini</t>
        </is>
      </c>
      <c r="F13" t="inlineStr">
        <is>
          <t>Senior Underwriter</t>
        </is>
      </c>
      <c r="H13" t="inlineStr">
        <is>
          <t>LorenzioB@itoo.co.za</t>
        </is>
      </c>
    </row>
    <row r="14">
      <c r="A14" s="6">
        <f>IFERROR(VLOOKUP($B14,Company_Cat!$B$2:$E$623,2,FALSE),"")</f>
        <v/>
      </c>
      <c r="B14" s="4" t="inlineStr">
        <is>
          <t>Infiniti Insurance</t>
        </is>
      </c>
      <c r="C14" s="6">
        <f>IFERROR(VLOOKUP($B14,Company_Cat!$B$2:$H$623,6,FALSE),"")</f>
        <v/>
      </c>
      <c r="D14" t="inlineStr">
        <is>
          <t>Carly Ranger</t>
        </is>
      </c>
      <c r="F14" t="inlineStr">
        <is>
          <t>Aviation Broker</t>
        </is>
      </c>
      <c r="G14" s="18" t="n">
        <v>27828570291</v>
      </c>
      <c r="H14" t="inlineStr">
        <is>
          <t>carlyr@infinitiaviation.co.za</t>
        </is>
      </c>
    </row>
    <row r="15">
      <c r="A15" s="6">
        <f>IFERROR(VLOOKUP($B15,Company_Cat!$B$2:$E$623,2,FALSE),"")</f>
        <v/>
      </c>
      <c r="B15" s="4" t="inlineStr">
        <is>
          <t>Infiniti Insurance</t>
        </is>
      </c>
      <c r="C15" s="6">
        <f>IFERROR(VLOOKUP($B15,Company_Cat!$B$2:$H$623,6,FALSE),"")</f>
        <v/>
      </c>
      <c r="D15" t="inlineStr">
        <is>
          <t>Belinda Hawkins</t>
        </is>
      </c>
      <c r="F15" t="inlineStr">
        <is>
          <t>General Manager - Divisonal Head</t>
        </is>
      </c>
      <c r="H15" t="inlineStr">
        <is>
          <t>belindah@infinitiafrica.com</t>
        </is>
      </c>
      <c r="I15" t="n">
        <v>27117181200</v>
      </c>
    </row>
    <row r="16">
      <c r="A16" s="6">
        <f>IFERROR(VLOOKUP($B16,Company_Cat!$B$2:$E$623,2,FALSE),"")</f>
        <v/>
      </c>
      <c r="B16" s="4" t="inlineStr">
        <is>
          <t>Infiniti Insurance</t>
        </is>
      </c>
      <c r="C16" s="6">
        <f>IFERROR(VLOOKUP($B16,Company_Cat!$B$2:$H$623,6,FALSE),"")</f>
        <v/>
      </c>
      <c r="D16" t="inlineStr">
        <is>
          <t>Sharon Paterson</t>
        </is>
      </c>
      <c r="F16" t="inlineStr">
        <is>
          <t>CEO</t>
        </is>
      </c>
    </row>
    <row r="17">
      <c r="A17" s="6">
        <f>IFERROR(VLOOKUP($B17,Company_Cat!$B$2:$E$623,2,FALSE),"")</f>
        <v/>
      </c>
      <c r="B17" s="4" t="inlineStr">
        <is>
          <t>AIG South Africa</t>
        </is>
      </c>
      <c r="C17" s="6">
        <f>IFERROR(VLOOKUP($B17,Company_Cat!$B$2:$H$623,6,FALSE),"")</f>
        <v/>
      </c>
      <c r="D17" t="inlineStr">
        <is>
          <t>Johannseburg Office</t>
        </is>
      </c>
      <c r="F17" t="inlineStr">
        <is>
          <t>Admin</t>
        </is>
      </c>
      <c r="G17" s="18" t="n">
        <v>27861488864</v>
      </c>
    </row>
    <row r="18">
      <c r="A18" s="6">
        <f>IFERROR(VLOOKUP($B18,Company_Cat!$B$2:$E$623,2,FALSE),"")</f>
        <v/>
      </c>
      <c r="B18" s="4" t="inlineStr">
        <is>
          <t>iTOO Special Risks (Hollard)</t>
        </is>
      </c>
      <c r="C18" s="6">
        <f>IFERROR(VLOOKUP($B18,Company_Cat!$B$2:$H$623,6,FALSE),"")</f>
        <v/>
      </c>
      <c r="D18" t="inlineStr">
        <is>
          <t>Willie</t>
        </is>
      </c>
      <c r="E18" t="inlineStr">
        <is>
          <t>Jansen van Rensburg</t>
        </is>
      </c>
      <c r="F18" t="inlineStr">
        <is>
          <t>Business Head - Claims</t>
        </is>
      </c>
      <c r="H18" s="16" t="inlineStr">
        <is>
          <t>WillieJ@itoo.co.za</t>
        </is>
      </c>
    </row>
    <row r="19">
      <c r="A19" s="6">
        <f>IFERROR(VLOOKUP($B19,Company_Cat!$B$2:$E$623,2,FALSE),"")</f>
        <v/>
      </c>
      <c r="B19" s="4" t="inlineStr">
        <is>
          <t>iTOO Special Risks (Hollard)</t>
        </is>
      </c>
      <c r="C19" s="6">
        <f>IFERROR(VLOOKUP($B19,Company_Cat!$B$2:$H$623,6,FALSE),"")</f>
        <v/>
      </c>
      <c r="D19" t="inlineStr">
        <is>
          <t>Warwick</t>
        </is>
      </c>
      <c r="E19" t="inlineStr">
        <is>
          <t>Goldie</t>
        </is>
      </c>
      <c r="F19" t="inlineStr">
        <is>
          <t>Chief Underwriting Officer</t>
        </is>
      </c>
      <c r="H19" s="16" t="inlineStr">
        <is>
          <t>WarwickG@itoo.co.za</t>
        </is>
      </c>
    </row>
    <row r="20">
      <c r="A20" s="6">
        <f>IFERROR(VLOOKUP($B20,Company_Cat!$B$2:$E$623,2,FALSE),"")</f>
        <v/>
      </c>
      <c r="B20" s="4" t="inlineStr">
        <is>
          <t>iTOO Special Risks (Hollard)</t>
        </is>
      </c>
      <c r="C20" s="6">
        <f>IFERROR(VLOOKUP($B20,Company_Cat!$B$2:$H$623,6,FALSE),"")</f>
        <v/>
      </c>
      <c r="D20" t="inlineStr">
        <is>
          <t>Jonathan</t>
        </is>
      </c>
      <c r="E20" t="inlineStr">
        <is>
          <t>Healy</t>
        </is>
      </c>
      <c r="F20" t="inlineStr">
        <is>
          <t>Managing Executive</t>
        </is>
      </c>
      <c r="H20" s="16" t="inlineStr">
        <is>
          <t>JonathanH@Itoo.co.za</t>
        </is>
      </c>
    </row>
    <row r="21">
      <c r="A21" s="6">
        <f>IFERROR(VLOOKUP($B21,Company_Cat!$B$2:$E$623,2,FALSE),"")</f>
        <v/>
      </c>
      <c r="B21" s="4" t="inlineStr">
        <is>
          <t>Orsmond Aviation</t>
        </is>
      </c>
      <c r="C21" s="6">
        <f>IFERROR(VLOOKUP($B21,Company_Cat!$B$2:$H$623,6,FALSE),"")</f>
        <v/>
      </c>
      <c r="D21" t="inlineStr">
        <is>
          <t>Admin</t>
        </is>
      </c>
      <c r="G21" s="18" t="n">
        <v>27583035261</v>
      </c>
      <c r="H21" s="16" t="inlineStr">
        <is>
          <t>info@orsmondaviation.co.za</t>
        </is>
      </c>
    </row>
    <row r="22">
      <c r="A22" s="6">
        <f>IFERROR(VLOOKUP($B22,Company_Cat!$B$2:$E$623,2,FALSE),"")</f>
        <v/>
      </c>
      <c r="B22" s="4" t="inlineStr">
        <is>
          <t>MCC Aviation(PTY) Ltd</t>
        </is>
      </c>
      <c r="C22" s="6">
        <f>IFERROR(VLOOKUP($B22,Company_Cat!$B$2:$H$623,6,FALSE),"")</f>
        <v/>
      </c>
      <c r="D22" t="inlineStr">
        <is>
          <t>Admin</t>
        </is>
      </c>
      <c r="H22" s="16" t="inlineStr">
        <is>
          <t>info@flymcc.co.za</t>
        </is>
      </c>
    </row>
    <row r="23">
      <c r="A23" s="6">
        <f>IFERROR(VLOOKUP($B23,Company_Cat!$B$2:$E$623,2,FALSE),"")</f>
        <v/>
      </c>
      <c r="B23" s="4" t="inlineStr">
        <is>
          <t>MCC Aviation(PTY) Ltd</t>
        </is>
      </c>
      <c r="C23" s="6">
        <f>IFERROR(VLOOKUP($B23,Company_Cat!$B$2:$H$623,6,FALSE),"")</f>
        <v/>
      </c>
      <c r="D23" t="inlineStr">
        <is>
          <t>Micheal</t>
        </is>
      </c>
      <c r="E23" t="inlineStr">
        <is>
          <t>Goodwin</t>
        </is>
      </c>
      <c r="F23" t="inlineStr">
        <is>
          <t>General Manager</t>
        </is>
      </c>
      <c r="H23" s="16" t="inlineStr">
        <is>
          <t>mike.goodwin@flymcc.co.za</t>
        </is>
      </c>
    </row>
    <row r="24">
      <c r="A24" s="6">
        <f>IFERROR(VLOOKUP($B24,Company_Cat!$B$2:$E$623,2,FALSE),"")</f>
        <v/>
      </c>
      <c r="B24" s="4" t="inlineStr">
        <is>
          <t>Capital Air (Pty) Ltd</t>
        </is>
      </c>
      <c r="C24" s="6">
        <f>IFERROR(VLOOKUP($B24,Company_Cat!$B$2:$H$623,6,FALSE),"")</f>
        <v/>
      </c>
      <c r="D24" t="inlineStr">
        <is>
          <t>Admin</t>
        </is>
      </c>
      <c r="H24" s="16" t="inlineStr">
        <is>
          <t>info@capitalairsa.com</t>
        </is>
      </c>
      <c r="I24" t="n">
        <v>27118270335</v>
      </c>
    </row>
    <row r="25">
      <c r="A25" s="6">
        <f>IFERROR(VLOOKUP($B25,Company_Cat!$B$2:$E$623,2,FALSE),"")</f>
        <v/>
      </c>
      <c r="B25" s="4" t="inlineStr">
        <is>
          <t>MCC Aviation(PTY) Ltd</t>
        </is>
      </c>
      <c r="C25" s="6">
        <f>IFERROR(VLOOKUP($B25,Company_Cat!$B$2:$H$623,6,FALSE),"")</f>
        <v/>
      </c>
      <c r="D25" t="inlineStr">
        <is>
          <t>Sean</t>
        </is>
      </c>
      <c r="E25" t="inlineStr">
        <is>
          <t>Murphy</t>
        </is>
      </c>
      <c r="F25" t="inlineStr">
        <is>
          <t>Helicopter AMO Manager</t>
        </is>
      </c>
      <c r="H25" s="16" t="inlineStr">
        <is>
          <t>sean.murphy@flymcc.co.za</t>
        </is>
      </c>
    </row>
    <row r="26">
      <c r="A26" s="6">
        <f>IFERROR(VLOOKUP($B26,Company_Cat!$B$2:$E$623,2,FALSE),"")</f>
        <v/>
      </c>
      <c r="B26" s="4" t="inlineStr">
        <is>
          <t>NAC Helicopter Division</t>
        </is>
      </c>
      <c r="C26" s="6">
        <f>IFERROR(VLOOKUP($B26,Company_Cat!$B$2:$H$623,6,FALSE),"")</f>
        <v/>
      </c>
      <c r="D26" t="inlineStr">
        <is>
          <t>Ashley</t>
        </is>
      </c>
      <c r="E26" t="inlineStr">
        <is>
          <t>Spolander</t>
        </is>
      </c>
      <c r="F26" t="inlineStr">
        <is>
          <t>Helicopter Maintenance &amp; Engine Shop Manager</t>
        </is>
      </c>
      <c r="H26" s="16" t="inlineStr">
        <is>
          <t>ashley.spolander@nac.co.za</t>
        </is>
      </c>
      <c r="I26" t="n">
        <v>27113452500</v>
      </c>
    </row>
    <row r="27">
      <c r="A27" s="6">
        <f>IFERROR(VLOOKUP($B27,Company_Cat!$B$2:$E$623,2,FALSE),"")</f>
        <v/>
      </c>
      <c r="B27" s="4" t="inlineStr">
        <is>
          <t>SANPARKS</t>
        </is>
      </c>
      <c r="C27" s="6">
        <f>IFERROR(VLOOKUP($B27,Company_Cat!$B$2:$H$623,6,FALSE),"")</f>
        <v/>
      </c>
      <c r="D27" t="inlineStr">
        <is>
          <t>Charles</t>
        </is>
      </c>
      <c r="E27" t="inlineStr">
        <is>
          <t>Phahlane</t>
        </is>
      </c>
      <c r="F27" t="inlineStr">
        <is>
          <t>Senior Communications Manager</t>
        </is>
      </c>
      <c r="G27" s="18" t="n">
        <v>27828568188</v>
      </c>
      <c r="H27" s="16" t="inlineStr">
        <is>
          <t>charles.phahlane@sanparks.org</t>
        </is>
      </c>
      <c r="I27" s="13" t="inlineStr">
        <is>
          <t>27124265000</t>
        </is>
      </c>
    </row>
    <row r="28">
      <c r="A28" s="6">
        <f>IFERROR(VLOOKUP($B28,Company_Cat!$B$2:$E$623,2,FALSE),"")</f>
        <v/>
      </c>
      <c r="B28" s="4" t="inlineStr">
        <is>
          <t>Transvaal Aircraft Maintenance (Pty) Ltd</t>
        </is>
      </c>
      <c r="C28" s="6">
        <f>IFERROR(VLOOKUP($B28,Company_Cat!$B$2:$H$623,6,FALSE),"")</f>
        <v/>
      </c>
      <c r="D28" t="inlineStr">
        <is>
          <t>Chris</t>
        </is>
      </c>
      <c r="E28" t="inlineStr">
        <is>
          <t>Korrf</t>
        </is>
      </c>
      <c r="I28" s="18" t="n">
        <v>27125671191</v>
      </c>
    </row>
    <row r="29">
      <c r="A29" s="6">
        <f>IFERROR(VLOOKUP($B29,Company_Cat!$B$2:$E$623,2,FALSE),"")</f>
        <v/>
      </c>
      <c r="B29" s="4" t="inlineStr">
        <is>
          <t>Emperor Aviation Pty(Ltd)</t>
        </is>
      </c>
      <c r="C29" s="6">
        <f>IFERROR(VLOOKUP($B29,Company_Cat!$B$2:$H$623,6,FALSE),"")</f>
        <v/>
      </c>
      <c r="D29" t="inlineStr">
        <is>
          <t>Paul</t>
        </is>
      </c>
      <c r="E29" t="inlineStr">
        <is>
          <t>Sankey</t>
        </is>
      </c>
      <c r="F29" t="inlineStr">
        <is>
          <t>CEO/Accountable Manager</t>
        </is>
      </c>
      <c r="G29" s="18" t="n">
        <v>27824971701</v>
      </c>
      <c r="H29" s="16" t="inlineStr">
        <is>
          <t>paul@emperoraviation.co.za</t>
        </is>
      </c>
    </row>
    <row r="30">
      <c r="A30" s="6">
        <f>IFERROR(VLOOKUP($B30,Company_Cat!$B$2:$E$623,2,FALSE),"")</f>
        <v/>
      </c>
      <c r="B30" s="4" t="inlineStr">
        <is>
          <t>PRECISION AVIATION SERVICES (PTY) Ltd</t>
        </is>
      </c>
      <c r="C30" s="6">
        <f>IFERROR(VLOOKUP($B30,Company_Cat!$B$2:$H$623,6,FALSE),"")</f>
        <v/>
      </c>
      <c r="D30" t="inlineStr">
        <is>
          <t>Rikus</t>
        </is>
      </c>
      <c r="E30" t="inlineStr">
        <is>
          <t>Botha</t>
        </is>
      </c>
      <c r="H30" s="16" t="inlineStr">
        <is>
          <t>riks@pasaviation.co.za</t>
        </is>
      </c>
      <c r="I30" s="13" t="inlineStr">
        <is>
          <t>27125430371</t>
        </is>
      </c>
    </row>
    <row r="31">
      <c r="A31" s="6">
        <f>IFERROR(VLOOKUP($B31,Company_Cat!$B$2:$E$623,2,FALSE),"")</f>
        <v/>
      </c>
      <c r="B31" s="4" t="inlineStr">
        <is>
          <t>BAC Aviation (Pty) Ltd</t>
        </is>
      </c>
      <c r="C31" s="6">
        <f>IFERROR(VLOOKUP($B31,Company_Cat!$B$2:$H$623,6,FALSE),"")</f>
        <v/>
      </c>
      <c r="D31" t="inlineStr">
        <is>
          <t>Tremayne</t>
        </is>
      </c>
      <c r="E31" t="inlineStr">
        <is>
          <t>Thompson</t>
        </is>
      </c>
      <c r="F31" t="inlineStr">
        <is>
          <t>CEO/Accountable Manager</t>
        </is>
      </c>
      <c r="G31" s="18" t="n">
        <v>27837782635</v>
      </c>
      <c r="H31" s="16" t="inlineStr">
        <is>
          <t>tthompson@bacheli.com</t>
        </is>
      </c>
    </row>
    <row r="32">
      <c r="A32" s="6">
        <f>IFERROR(VLOOKUP($B32,Company_Cat!$B$2:$E$623,2,FALSE),"")</f>
        <v/>
      </c>
      <c r="B32" s="4" t="inlineStr">
        <is>
          <t>Lady Lori Kenya Limited</t>
        </is>
      </c>
      <c r="C32" s="6">
        <f>IFERROR(VLOOKUP($B32,Company_Cat!$B$2:$H$623,6,FALSE),"")</f>
        <v/>
      </c>
      <c r="D32" t="inlineStr">
        <is>
          <t>Admin</t>
        </is>
      </c>
      <c r="G32" s="18" t="n">
        <v>27729850600</v>
      </c>
      <c r="H32" s="16" t="inlineStr">
        <is>
          <t>operations@flyladylori.com</t>
        </is>
      </c>
    </row>
    <row r="33">
      <c r="A33" s="6">
        <f>IFERROR(VLOOKUP($B33,Company_Cat!$B$2:$E$623,2,FALSE),"")</f>
        <v/>
      </c>
      <c r="B33" s="4" t="inlineStr">
        <is>
          <t>Ferreira Aviation CC</t>
        </is>
      </c>
      <c r="C33" s="6">
        <f>IFERROR(VLOOKUP($B33,Company_Cat!$B$2:$H$623,6,FALSE),"")</f>
        <v/>
      </c>
      <c r="D33" t="inlineStr">
        <is>
          <t>Stanley</t>
        </is>
      </c>
      <c r="E33" t="inlineStr">
        <is>
          <t>Schimper</t>
        </is>
      </c>
      <c r="F33" t="inlineStr">
        <is>
          <t>Bloemfontein</t>
        </is>
      </c>
      <c r="G33" s="18" t="n">
        <v>27835576120</v>
      </c>
      <c r="H33" s="16" t="inlineStr">
        <is>
          <t>stanley@ferreiraaviation.co.za</t>
        </is>
      </c>
    </row>
    <row r="34">
      <c r="A34" s="6">
        <f>IFERROR(VLOOKUP($B34,Company_Cat!$B$2:$E$623,2,FALSE),"")</f>
        <v/>
      </c>
      <c r="B34" s="4" t="inlineStr">
        <is>
          <t>Ferreira Aviation CC</t>
        </is>
      </c>
      <c r="C34" s="6">
        <f>IFERROR(VLOOKUP($B34,Company_Cat!$B$2:$H$623,6,FALSE),"")</f>
        <v/>
      </c>
      <c r="D34" t="inlineStr">
        <is>
          <t>Wyndham</t>
        </is>
      </c>
      <c r="E34" t="inlineStr">
        <is>
          <t>Ferreira</t>
        </is>
      </c>
      <c r="F34" t="inlineStr">
        <is>
          <t>Bloemfontein</t>
        </is>
      </c>
      <c r="G34" s="18" t="n">
        <v>27832620313</v>
      </c>
      <c r="H34" s="16" t="inlineStr">
        <is>
          <t>wyndham@ferreiraaviation.co.za</t>
        </is>
      </c>
    </row>
    <row r="35">
      <c r="A35" s="6">
        <f>IFERROR(VLOOKUP($B35,Company_Cat!$B$2:$E$623,2,FALSE),"")</f>
        <v/>
      </c>
      <c r="B35" s="4" t="inlineStr">
        <is>
          <t>Ferreira Aviation CC</t>
        </is>
      </c>
      <c r="C35" s="6">
        <f>IFERROR(VLOOKUP($B35,Company_Cat!$B$2:$H$623,6,FALSE),"")</f>
        <v/>
      </c>
      <c r="D35" t="inlineStr">
        <is>
          <t>JP</t>
        </is>
      </c>
      <c r="F35" t="inlineStr">
        <is>
          <t>George</t>
        </is>
      </c>
      <c r="G35" s="18" t="n">
        <v>27843313964</v>
      </c>
      <c r="H35" s="16" t="inlineStr">
        <is>
          <t>jp@ferreiraaviation.co.za</t>
        </is>
      </c>
    </row>
    <row r="36">
      <c r="A36" s="6">
        <f>IFERROR(VLOOKUP($B36,Company_Cat!$B$2:$E$623,2,FALSE),"")</f>
        <v/>
      </c>
      <c r="B36" s="4" t="inlineStr">
        <is>
          <t>Lowveld Aircraft Services CC</t>
        </is>
      </c>
      <c r="C36" s="6">
        <f>IFERROR(VLOOKUP($B36,Company_Cat!$B$2:$H$623,6,FALSE),"")</f>
        <v/>
      </c>
      <c r="D36" t="inlineStr">
        <is>
          <t>THOMAS</t>
        </is>
      </c>
      <c r="E36" t="inlineStr">
        <is>
          <t>WILLOWS</t>
        </is>
      </c>
      <c r="G36" s="18" t="n">
        <v>27823367262</v>
      </c>
      <c r="H36" s="16" t="inlineStr">
        <is>
          <t>twillows@mweb.co.za</t>
        </is>
      </c>
    </row>
    <row r="37">
      <c r="A37" s="6">
        <f>IFERROR(VLOOKUP($B37,Company_Cat!$B$2:$E$623,2,FALSE),"")</f>
        <v/>
      </c>
      <c r="B37" s="4" t="inlineStr">
        <is>
          <t>Lowveld Aircraft Services CC</t>
        </is>
      </c>
      <c r="C37" s="6">
        <f>IFERROR(VLOOKUP($B37,Company_Cat!$B$2:$H$623,6,FALSE),"")</f>
        <v/>
      </c>
      <c r="D37" t="inlineStr">
        <is>
          <t>GARY</t>
        </is>
      </c>
      <c r="E37" t="inlineStr">
        <is>
          <t>VINCENT</t>
        </is>
      </c>
      <c r="G37" s="18" t="n">
        <v>27832940739</v>
      </c>
      <c r="H37" s="16" t="inlineStr">
        <is>
          <t>jvincent@vodamail.co.za</t>
        </is>
      </c>
    </row>
    <row r="38">
      <c r="A38" s="6">
        <f>IFERROR(VLOOKUP($B38,Company_Cat!$B$2:$E$623,2,FALSE),"")</f>
        <v/>
      </c>
      <c r="B38" s="4" t="inlineStr">
        <is>
          <t>PWR Aircraft Maintenance International</t>
        </is>
      </c>
      <c r="C38" s="6">
        <f>IFERROR(VLOOKUP($B38,Company_Cat!$B$2:$H$623,6,FALSE),"")</f>
        <v/>
      </c>
      <c r="D38" t="inlineStr">
        <is>
          <t>Willie</t>
        </is>
      </c>
      <c r="E38" t="inlineStr">
        <is>
          <t>Pienaar</t>
        </is>
      </c>
      <c r="F38" s="15" t="inlineStr">
        <is>
          <t>Fixed Wing and Rotorcraft Maintainance Nelspruit</t>
        </is>
      </c>
      <c r="G38" s="18" t="n">
        <v>27827870415</v>
      </c>
      <c r="H38" s="16" t="inlineStr">
        <is>
          <t>ns@aminternational.co.za</t>
        </is>
      </c>
    </row>
    <row r="39">
      <c r="A39" s="6">
        <f>IFERROR(VLOOKUP($B39,Company_Cat!$B$2:$E$623,2,FALSE),"")</f>
        <v/>
      </c>
      <c r="B39" s="4" t="inlineStr">
        <is>
          <t>PWR Aircraft Maintenance International</t>
        </is>
      </c>
      <c r="C39" s="6">
        <f>IFERROR(VLOOKUP($B39,Company_Cat!$B$2:$H$623,6,FALSE),"")</f>
        <v/>
      </c>
      <c r="D39" t="inlineStr">
        <is>
          <t>Willie</t>
        </is>
      </c>
      <c r="E39" t="inlineStr">
        <is>
          <t>Snyman</t>
        </is>
      </c>
      <c r="F39" s="15" t="inlineStr">
        <is>
          <t>Fixed Wing and Rotorcraft Maintainance Wonderboom</t>
        </is>
      </c>
      <c r="G39" s="18" t="n">
        <v>27824974687</v>
      </c>
      <c r="H39" s="16" t="inlineStr">
        <is>
          <t>wb@aminternational.co.za</t>
        </is>
      </c>
    </row>
    <row r="40">
      <c r="A40" s="6">
        <f>IFERROR(VLOOKUP($B40,Company_Cat!$B$2:$E$623,2,FALSE),"")</f>
        <v/>
      </c>
      <c r="B40" s="4" t="inlineStr">
        <is>
          <t>PWR Aircraft Maintenance International</t>
        </is>
      </c>
      <c r="C40" s="6">
        <f>IFERROR(VLOOKUP($B40,Company_Cat!$B$2:$H$623,6,FALSE),"")</f>
        <v/>
      </c>
      <c r="D40" t="inlineStr">
        <is>
          <t>Pine</t>
        </is>
      </c>
      <c r="E40" t="inlineStr">
        <is>
          <t>Pienaar</t>
        </is>
      </c>
      <c r="F40" s="15" t="inlineStr">
        <is>
          <t>Aircraft Maintainance and Sales</t>
        </is>
      </c>
      <c r="G40" s="18" t="n">
        <v>27833050605</v>
      </c>
      <c r="H40" s="16" t="inlineStr">
        <is>
          <t>gm@aminternational.co.za</t>
        </is>
      </c>
    </row>
    <row r="41">
      <c r="A41" s="6">
        <f>IFERROR(VLOOKUP($B41,Company_Cat!$B$2:$E$623,2,FALSE),"")</f>
        <v/>
      </c>
      <c r="B41" s="4" t="inlineStr">
        <is>
          <t>Santam Aviation</t>
        </is>
      </c>
      <c r="C41" s="6">
        <f>IFERROR(VLOOKUP($B41,Company_Cat!$B$2:$H$623,6,FALSE),"")</f>
        <v/>
      </c>
      <c r="D41" t="inlineStr">
        <is>
          <t>James</t>
        </is>
      </c>
      <c r="E41" t="inlineStr">
        <is>
          <t>Godden</t>
        </is>
      </c>
      <c r="F41" s="15" t="inlineStr">
        <is>
          <t>General</t>
        </is>
      </c>
      <c r="G41" s="18" t="n">
        <v>27828952765</v>
      </c>
      <c r="H41" s="16" t="inlineStr">
        <is>
          <t>james.godden@santam.co.za</t>
        </is>
      </c>
    </row>
    <row r="42">
      <c r="A42" s="6">
        <f>IFERROR(VLOOKUP($B42,Company_Cat!$B$2:$E$623,2,FALSE),"")</f>
        <v/>
      </c>
      <c r="B42" s="4" t="inlineStr">
        <is>
          <t>Santam Aviation</t>
        </is>
      </c>
      <c r="C42" s="6">
        <f>IFERROR(VLOOKUP($B42,Company_Cat!$B$2:$H$623,6,FALSE),"")</f>
        <v/>
      </c>
      <c r="D42" t="inlineStr">
        <is>
          <t>Shirlene</t>
        </is>
      </c>
      <c r="E42" t="inlineStr">
        <is>
          <t>Frylinck</t>
        </is>
      </c>
      <c r="F42" s="15" t="inlineStr">
        <is>
          <t>Claims</t>
        </is>
      </c>
      <c r="G42" s="19" t="n">
        <v>27619443894</v>
      </c>
      <c r="H42" s="16" t="inlineStr">
        <is>
          <t>shirlene.frylinck@santam.co.za</t>
        </is>
      </c>
    </row>
    <row r="43">
      <c r="A43" s="6">
        <f>IFERROR(VLOOKUP($B43,Company_Cat!$B$2:$E$623,2,FALSE),"")</f>
        <v/>
      </c>
      <c r="B43" s="4" t="inlineStr">
        <is>
          <t>Santam Aviation</t>
        </is>
      </c>
      <c r="C43" s="6">
        <f>IFERROR(VLOOKUP($B43,Company_Cat!$B$2:$H$623,6,FALSE),"")</f>
        <v/>
      </c>
      <c r="D43" t="inlineStr">
        <is>
          <t>Cleme</t>
        </is>
      </c>
      <c r="E43" t="inlineStr">
        <is>
          <t>Brown</t>
        </is>
      </c>
      <c r="F43" s="15" t="inlineStr">
        <is>
          <t>Underwriting</t>
        </is>
      </c>
      <c r="G43" s="18" t="n">
        <v>27833997802</v>
      </c>
      <c r="H43" s="16" t="inlineStr">
        <is>
          <t>cleme.brown@santam.co.za</t>
        </is>
      </c>
    </row>
    <row r="44">
      <c r="A44" s="6">
        <f>IFERROR(VLOOKUP($B44,Company_Cat!$B$2:$E$623,2,FALSE),"")</f>
        <v/>
      </c>
      <c r="B44" s="4" t="inlineStr">
        <is>
          <t>Vektor Aviation</t>
        </is>
      </c>
      <c r="C44" s="6">
        <f>IFERROR(VLOOKUP($B44,Company_Cat!$B$2:$H$623,6,FALSE),"")</f>
        <v/>
      </c>
      <c r="D44" t="inlineStr">
        <is>
          <t>Reon</t>
        </is>
      </c>
      <c r="E44" t="inlineStr">
        <is>
          <t>Wiese</t>
        </is>
      </c>
      <c r="F44" s="15" t="inlineStr">
        <is>
          <t>CEO</t>
        </is>
      </c>
      <c r="G44" s="18" t="n">
        <v>27827861925</v>
      </c>
      <c r="H44" s="16" t="inlineStr">
        <is>
          <t>reon@vektoraviation.co.za</t>
        </is>
      </c>
    </row>
    <row r="45" ht="16.8" customHeight="1">
      <c r="A45" s="6">
        <f>IFERROR(VLOOKUP($B45,Company_Cat!$B$2:$E$623,2,FALSE),"")</f>
        <v/>
      </c>
      <c r="B45" s="4" t="inlineStr">
        <is>
          <t>Vektor Aviation</t>
        </is>
      </c>
      <c r="C45" s="6">
        <f>IFERROR(VLOOKUP($B45,Company_Cat!$B$2:$H$623,6,FALSE),"")</f>
        <v/>
      </c>
      <c r="D45" t="inlineStr">
        <is>
          <t>Kim</t>
        </is>
      </c>
      <c r="E45" s="17" t="inlineStr">
        <is>
          <t>Van Der Walt</t>
        </is>
      </c>
      <c r="F45" s="15" t="inlineStr">
        <is>
          <t>Head of Aviation: Corporate &amp; General Aviation</t>
        </is>
      </c>
      <c r="H45" s="16" t="inlineStr">
        <is>
          <t>kim@vektoraviation.co.za</t>
        </is>
      </c>
    </row>
    <row r="46">
      <c r="A46" s="6">
        <f>IFERROR(VLOOKUP($B46,Company_Cat!$B$2:$E$623,2,FALSE),"")</f>
        <v/>
      </c>
      <c r="B46" s="4" t="inlineStr">
        <is>
          <t>Vektor Aviation</t>
        </is>
      </c>
      <c r="C46" s="6">
        <f>IFERROR(VLOOKUP($B46,Company_Cat!$B$2:$H$623,6,FALSE),"")</f>
        <v/>
      </c>
      <c r="D46" t="inlineStr">
        <is>
          <t>Leandra</t>
        </is>
      </c>
      <c r="E46" t="inlineStr">
        <is>
          <t>Rossel</t>
        </is>
      </c>
      <c r="F46" s="15" t="inlineStr">
        <is>
          <t>Aviation Operations Manager</t>
        </is>
      </c>
      <c r="H46" s="16" t="inlineStr">
        <is>
          <t>leandra@vektoraviation.co.za</t>
        </is>
      </c>
    </row>
    <row r="47">
      <c r="A47" s="6">
        <f>IFERROR(VLOOKUP($B47,Company_Cat!$B$2:$E$623,2,FALSE),"")</f>
        <v/>
      </c>
      <c r="B47" s="4" t="inlineStr">
        <is>
          <t>Greystones Aviaton Components (Pty) Ltd</t>
        </is>
      </c>
      <c r="C47" s="6">
        <f>IFERROR(VLOOKUP($B47,Company_Cat!$B$2:$H$623,6,FALSE),"")</f>
        <v/>
      </c>
      <c r="H47" s="16" t="inlineStr">
        <is>
          <t>info@greystones.co.za</t>
        </is>
      </c>
      <c r="I47" s="18" t="n">
        <v>27310200901</v>
      </c>
    </row>
    <row r="48" ht="15.6" customHeight="1">
      <c r="A48" s="6">
        <f>IFERROR(VLOOKUP($B48,Company_Cat!$B$2:$E$623,2,FALSE),"")</f>
        <v/>
      </c>
      <c r="B48" s="4" t="inlineStr">
        <is>
          <t>Airbus Southern Africa (Pty) Ltd</t>
        </is>
      </c>
      <c r="C48" s="6">
        <f>IFERROR(VLOOKUP($B48,Company_Cat!$B$2:$H$623,6,FALSE),"")</f>
        <v/>
      </c>
      <c r="D48" s="14" t="inlineStr">
        <is>
          <t>Nam-Binh</t>
        </is>
      </c>
      <c r="E48" t="inlineStr">
        <is>
          <t>Hoang</t>
        </is>
      </c>
      <c r="F48" t="inlineStr">
        <is>
          <t>Service Manager</t>
        </is>
      </c>
      <c r="H48" s="16" t="inlineStr">
        <is>
          <t>nam-binh.hoang@airbus.com</t>
        </is>
      </c>
      <c r="I48" s="18" t="n">
        <v>27112662600</v>
      </c>
    </row>
    <row r="49">
      <c r="A49" s="6">
        <f>IFERROR(VLOOKUP($B49,Company_Cat!$B$2:$E$623,2,FALSE),"")</f>
        <v/>
      </c>
      <c r="B49" s="4" t="inlineStr">
        <is>
          <t>Hover Dynamics Maintenance CC</t>
        </is>
      </c>
      <c r="C49" s="6">
        <f>IFERROR(VLOOKUP($B49,Company_Cat!$B$2:$H$623,6,FALSE),"")</f>
        <v/>
      </c>
      <c r="D49" t="inlineStr">
        <is>
          <t>Willie</t>
        </is>
      </c>
      <c r="E49" t="inlineStr">
        <is>
          <t>Breitenbach</t>
        </is>
      </c>
      <c r="F49" t="inlineStr">
        <is>
          <t>Emergency Maintenance Manager</t>
        </is>
      </c>
      <c r="H49" s="16" t="inlineStr">
        <is>
          <t xml:space="preserve">hdm@hoverdynamics.co.za  </t>
        </is>
      </c>
      <c r="I49" s="18" t="n">
        <v>27113157210</v>
      </c>
    </row>
    <row r="50">
      <c r="A50" s="6">
        <f>IFERROR(VLOOKUP($B50,Company_Cat!$B$2:$E$623,2,FALSE),"")</f>
        <v/>
      </c>
      <c r="B50" s="4" t="inlineStr">
        <is>
          <t>Heli-Fix cc</t>
        </is>
      </c>
      <c r="C50" s="6">
        <f>IFERROR(VLOOKUP($B50,Company_Cat!$B$2:$H$623,6,FALSE),"")</f>
        <v/>
      </c>
      <c r="H50" s="16" t="inlineStr">
        <is>
          <t>accounts@helifix.co.za</t>
        </is>
      </c>
    </row>
    <row r="51">
      <c r="A51" s="6">
        <f>IFERROR(VLOOKUP($B51,Company_Cat!$B$2:$E$623,2,FALSE),"")</f>
        <v/>
      </c>
      <c r="B51" s="4" t="inlineStr">
        <is>
          <t>Leading Edge Aviation cc</t>
        </is>
      </c>
      <c r="C51" s="6">
        <f>IFERROR(VLOOKUP($B51,Company_Cat!$B$2:$H$623,6,FALSE),"")</f>
        <v/>
      </c>
      <c r="H51" s="16" t="inlineStr">
        <is>
          <t>office@leaviation.co.za</t>
        </is>
      </c>
      <c r="I51" s="18" t="n">
        <v>27125674905</v>
      </c>
    </row>
    <row r="52">
      <c r="A52" s="6">
        <f>IFERROR(VLOOKUP($B52,Company_Cat!$B$2:$E$623,2,FALSE),"")</f>
        <v/>
      </c>
      <c r="B52" s="4" t="inlineStr">
        <is>
          <t>Denel Aeronautics</t>
        </is>
      </c>
      <c r="C52" s="6">
        <f>IFERROR(VLOOKUP($B52,Company_Cat!$B$2:$H$623,6,FALSE),"")</f>
        <v/>
      </c>
      <c r="F52" t="inlineStr">
        <is>
          <t>Product &amp; Service Enquiries</t>
        </is>
      </c>
      <c r="H52" s="16" t="inlineStr">
        <is>
          <t>marketing@denelaviation.co.za</t>
        </is>
      </c>
      <c r="I52" s="18" t="n">
        <v>27137413654</v>
      </c>
    </row>
    <row r="53">
      <c r="A53" s="6">
        <f>IFERROR(VLOOKUP($B53,Company_Cat!$B$2:$E$623,2,FALSE),"")</f>
        <v/>
      </c>
      <c r="B53" s="4" t="inlineStr">
        <is>
          <t>Henley Air Technical</t>
        </is>
      </c>
      <c r="C53" s="6">
        <f>IFERROR(VLOOKUP($B53,Company_Cat!$B$2:$H$623,6,FALSE),"")</f>
        <v/>
      </c>
      <c r="H53" s="16" t="inlineStr">
        <is>
          <t>info@henleyair.co.za</t>
        </is>
      </c>
      <c r="I53" t="n">
        <v>27118275503</v>
      </c>
    </row>
    <row r="54">
      <c r="A54" s="6">
        <f>IFERROR(VLOOKUP($B54,Company_Cat!$B$2:$E$623,2,FALSE),"")</f>
        <v/>
      </c>
      <c r="B54" s="4" t="inlineStr">
        <is>
          <t>NRG EXPLORATION CC</t>
        </is>
      </c>
      <c r="C54" s="6">
        <f>IFERROR(VLOOKUP($B54,Company_Cat!$B$2:$H$623,6,FALSE),"")</f>
        <v/>
      </c>
      <c r="D54" t="inlineStr">
        <is>
          <t>Catherine</t>
        </is>
      </c>
      <c r="E54" t="inlineStr">
        <is>
          <t>Kruse</t>
        </is>
      </c>
      <c r="F54" t="inlineStr">
        <is>
          <t>Sales &amp; Marketing Manager</t>
        </is>
      </c>
      <c r="G54" s="21" t="n">
        <v>27745109916</v>
      </c>
      <c r="H54" s="16" t="inlineStr">
        <is>
          <t>catherine.kruse@nrgex.co.za</t>
        </is>
      </c>
    </row>
    <row r="55">
      <c r="A55" s="6">
        <f>IFERROR(VLOOKUP($B55,Company_Cat!$B$2:$E$623,2,FALSE),"")</f>
        <v/>
      </c>
      <c r="B55" s="4" t="inlineStr">
        <is>
          <t>Starlite Maintenance Durban (Pty) Ltd</t>
        </is>
      </c>
      <c r="C55" s="6">
        <f>IFERROR(VLOOKUP($B55,Company_Cat!$B$2:$H$623,6,FALSE),"")</f>
        <v/>
      </c>
      <c r="D55" t="inlineStr">
        <is>
          <t>Ockert</t>
        </is>
      </c>
      <c r="E55" t="inlineStr">
        <is>
          <t>Smit</t>
        </is>
      </c>
      <c r="F55" t="inlineStr">
        <is>
          <t>Regional Head of Maintenance</t>
        </is>
      </c>
      <c r="H55" s="16" t="inlineStr">
        <is>
          <t>ockerts@starliteaviation.com</t>
        </is>
      </c>
      <c r="I55" t="n">
        <v>27315716600</v>
      </c>
    </row>
    <row r="56">
      <c r="A56" s="6">
        <f>IFERROR(VLOOKUP($B56,Company_Cat!$B$2:$E$623,2,FALSE),"")</f>
        <v/>
      </c>
      <c r="B56" s="4" t="inlineStr">
        <is>
          <t>Trio  Helicopters &amp;  Aviation</t>
        </is>
      </c>
      <c r="C56" s="6">
        <f>IFERROR(VLOOKUP($B56,Company_Cat!$B$2:$H$623,6,FALSE),"")</f>
        <v/>
      </c>
      <c r="D56" t="inlineStr">
        <is>
          <t>Frans</t>
        </is>
      </c>
      <c r="E56" t="inlineStr">
        <is>
          <t>Grobbelaar</t>
        </is>
      </c>
      <c r="F56" t="inlineStr">
        <is>
          <t>Manager</t>
        </is>
      </c>
      <c r="G56" t="n">
        <v>27825608808</v>
      </c>
      <c r="H56" s="16" t="inlineStr">
        <is>
          <t>trioavi@netactive.co.za</t>
        </is>
      </c>
      <c r="I56" t="n">
        <v>27116591022</v>
      </c>
    </row>
    <row r="57">
      <c r="A57" s="6">
        <f>IFERROR(VLOOKUP($B57,Company_Cat!$B$2:$E$623,2,FALSE),"")</f>
        <v/>
      </c>
      <c r="B57" s="4" t="inlineStr">
        <is>
          <t>Acher Aviation</t>
        </is>
      </c>
      <c r="C57" s="6">
        <f>IFERROR(VLOOKUP($B57,Company_Cat!$B$2:$H$623,6,FALSE),"")</f>
        <v/>
      </c>
      <c r="H57" s="16" t="inlineStr">
        <is>
          <t>admin@acheraviation.com</t>
        </is>
      </c>
      <c r="I57" t="n">
        <v>27315632650</v>
      </c>
    </row>
    <row r="58">
      <c r="A58" s="6">
        <f>IFERROR(VLOOKUP($B58,Company_Cat!$B$2:$E$623,2,FALSE),"")</f>
        <v/>
      </c>
      <c r="B58" s="4" t="inlineStr">
        <is>
          <t>Airwork Aviation Maintenance Division (Pty)
Ltd</t>
        </is>
      </c>
      <c r="C58" s="6">
        <f>IFERROR(VLOOKUP($B58,Company_Cat!$B$2:$H$623,6,FALSE),"")</f>
        <v/>
      </c>
      <c r="D58" t="inlineStr">
        <is>
          <t>Mike</t>
        </is>
      </c>
      <c r="E58" t="inlineStr">
        <is>
          <t>Hall</t>
        </is>
      </c>
      <c r="F58" t="inlineStr">
        <is>
          <t>General Manager</t>
        </is>
      </c>
      <c r="G58" t="n">
        <v>27824440855</v>
      </c>
    </row>
    <row r="59">
      <c r="A59" s="6">
        <f>IFERROR(VLOOKUP($B59,Company_Cat!$B$2:$E$623,2,FALSE),"")</f>
        <v/>
      </c>
      <c r="B59" s="4" t="inlineStr">
        <is>
          <t>Breytech Aviation cc</t>
        </is>
      </c>
      <c r="C59" s="6">
        <f>IFERROR(VLOOKUP($B59,Company_Cat!$B$2:$H$623,6,FALSE),"")</f>
        <v/>
      </c>
      <c r="D59" t="inlineStr">
        <is>
          <t>Willie</t>
        </is>
      </c>
      <c r="E59" t="inlineStr">
        <is>
          <t>Breytenbach</t>
        </is>
      </c>
      <c r="H59" s="16" t="inlineStr">
        <is>
          <t>info@breytech.co.za</t>
        </is>
      </c>
      <c r="I59" t="n">
        <v>27125673139</v>
      </c>
    </row>
    <row r="60">
      <c r="A60" s="6">
        <f>IFERROR(VLOOKUP($B60,Company_Cat!$B$2:$E$623,2,FALSE),"")</f>
        <v/>
      </c>
      <c r="B60" s="4" t="inlineStr">
        <is>
          <t>Paramount Aerospace Systems</t>
        </is>
      </c>
      <c r="C60" s="6">
        <f>IFERROR(VLOOKUP($B60,Company_Cat!$B$2:$H$623,6,FALSE),"")</f>
        <v/>
      </c>
      <c r="H60" s="16" t="inlineStr">
        <is>
          <t>info@paramountgroup.biz</t>
        </is>
      </c>
      <c r="I60" t="n">
        <v>27108229200</v>
      </c>
    </row>
    <row r="61">
      <c r="A61" s="6">
        <f>IFERROR(VLOOKUP($B61,Company_Cat!$B$2:$E$623,2,FALSE),"")</f>
        <v/>
      </c>
      <c r="B61" s="4" t="inlineStr">
        <is>
          <t>Starlite Maintenance</t>
        </is>
      </c>
      <c r="C61" s="6">
        <f>IFERROR(VLOOKUP($B61,Company_Cat!$B$2:$H$623,6,FALSE),"")</f>
        <v/>
      </c>
      <c r="H61" s="16" t="inlineStr">
        <is>
          <t>enquiries@starliteaviation.com</t>
        </is>
      </c>
      <c r="I61" t="n">
        <v>27105937772</v>
      </c>
    </row>
    <row r="62">
      <c r="A62" s="6">
        <f>IFERROR(VLOOKUP($B62,Company_Cat!$B$2:$E$623,2,FALSE),"")</f>
        <v/>
      </c>
      <c r="B62" s="4" t="inlineStr">
        <is>
          <t>Hover Dynamics Maintenance CC</t>
        </is>
      </c>
      <c r="C62" s="6">
        <f>IFERROR(VLOOKUP($B62,Company_Cat!$B$2:$H$623,6,FALSE),"")</f>
        <v/>
      </c>
      <c r="D62" t="inlineStr">
        <is>
          <t>Yolande</t>
        </is>
      </c>
      <c r="E62" t="inlineStr">
        <is>
          <t>van der Merwe</t>
        </is>
      </c>
      <c r="F62" t="inlineStr">
        <is>
          <t>Emergency Contact</t>
        </is>
      </c>
      <c r="H62" s="16" t="inlineStr">
        <is>
          <t>reception@hoverdynamics.co.za</t>
        </is>
      </c>
      <c r="I62" t="n">
        <v>27135900550</v>
      </c>
    </row>
    <row r="63">
      <c r="A63" s="6">
        <f>IFERROR(VLOOKUP($B63,Company_Cat!$B$2:$E$623,2,FALSE),"")</f>
        <v/>
      </c>
      <c r="B63" s="4" t="inlineStr">
        <is>
          <t>SAPS AIRWING</t>
        </is>
      </c>
      <c r="C63" s="6">
        <f>IFERROR(VLOOKUP($B63,Company_Cat!$B$2:$H$623,6,FALSE),"")</f>
        <v/>
      </c>
      <c r="D63" t="inlineStr">
        <is>
          <t>Lt Col TP</t>
        </is>
      </c>
      <c r="E63" t="inlineStr">
        <is>
          <t>Mathopa</t>
        </is>
      </c>
      <c r="F63" t="inlineStr">
        <is>
          <t>Support Head</t>
        </is>
      </c>
      <c r="H63" s="16" t="inlineStr">
        <is>
          <t>mathopaT@saps.gov.za</t>
        </is>
      </c>
      <c r="I63" t="n">
        <v>27124327536</v>
      </c>
    </row>
    <row r="64">
      <c r="A64" s="6">
        <f>IFERROR(VLOOKUP($B64,Company_Cat!$B$2:$E$623,2,FALSE),"")</f>
        <v/>
      </c>
      <c r="B64" s="4" t="inlineStr">
        <is>
          <t>Aeronautic Solutions (Pty) Ltd</t>
        </is>
      </c>
      <c r="C64" s="6">
        <f>IFERROR(VLOOKUP($B64,Company_Cat!$B$2:$H$623,6,FALSE),"")</f>
        <v/>
      </c>
      <c r="D64" t="inlineStr">
        <is>
          <t>Renier</t>
        </is>
      </c>
      <c r="E64" t="inlineStr">
        <is>
          <t>Pieterse</t>
        </is>
      </c>
      <c r="F64" t="inlineStr">
        <is>
          <t>Accountable Manager</t>
        </is>
      </c>
      <c r="I64" t="inlineStr">
        <is>
          <t xml:space="preserve">27113121443 </t>
        </is>
      </c>
    </row>
    <row r="65">
      <c r="A65" s="6">
        <f>IFERROR(VLOOKUP($B65,Company_Cat!$B$2:$E$623,2,FALSE),"")</f>
        <v/>
      </c>
      <c r="B65" s="4" t="inlineStr">
        <is>
          <t>Warbird Aircraft Services CC</t>
        </is>
      </c>
      <c r="C65" s="6">
        <f>IFERROR(VLOOKUP($B65,Company_Cat!$B$2:$H$623,6,FALSE),"")</f>
        <v/>
      </c>
      <c r="D65" t="inlineStr">
        <is>
          <t>Johannes Hendrik</t>
        </is>
      </c>
      <c r="E65" t="inlineStr">
        <is>
          <t>Lock</t>
        </is>
      </c>
      <c r="F65" t="inlineStr">
        <is>
          <t>Member</t>
        </is>
      </c>
      <c r="I65" t="n">
        <v>27125430544</v>
      </c>
    </row>
    <row r="66">
      <c r="A66" s="6">
        <f>IFERROR(VLOOKUP($B66,Company_Cat!$B$2:$E$623,2,FALSE),"")</f>
        <v/>
      </c>
      <c r="B66" s="4" t="inlineStr">
        <is>
          <t>FFA  Aviation</t>
        </is>
      </c>
      <c r="C66" s="6">
        <f>IFERROR(VLOOKUP($B66,Company_Cat!$B$2:$H$623,6,FALSE),"")</f>
        <v/>
      </c>
      <c r="H66" s="16" t="inlineStr">
        <is>
          <t>amo@kishugu.com</t>
        </is>
      </c>
      <c r="I66" t="inlineStr">
        <is>
          <t xml:space="preserve">27137418222  </t>
        </is>
      </c>
    </row>
    <row r="67">
      <c r="A67" s="6">
        <f>IFERROR(VLOOKUP($B67,Company_Cat!$B$2:$E$623,2,FALSE),"")</f>
        <v/>
      </c>
      <c r="B67" s="4" t="inlineStr">
        <is>
          <t>Leading Edge Helicopters cc</t>
        </is>
      </c>
      <c r="C67" s="6">
        <f>IFERROR(VLOOKUP($B67,Company_Cat!$B$2:$H$623,6,FALSE),"")</f>
        <v/>
      </c>
      <c r="F67" t="inlineStr">
        <is>
          <t>Accountable Manager</t>
        </is>
      </c>
      <c r="I67" t="n">
        <v>27137415582</v>
      </c>
    </row>
    <row r="68">
      <c r="A68" s="6">
        <f>IFERROR(VLOOKUP($B68,Company_Cat!$B$2:$E$623,2,FALSE),"")</f>
        <v/>
      </c>
      <c r="B68" s="4" t="inlineStr">
        <is>
          <t>Savannah Helicopter Maintenance</t>
        </is>
      </c>
      <c r="C68" s="6">
        <f>IFERROR(VLOOKUP($B68,Company_Cat!$B$2:$H$623,6,FALSE),"")</f>
        <v/>
      </c>
      <c r="D68" t="inlineStr">
        <is>
          <t>Petrus</t>
        </is>
      </c>
      <c r="E68" t="inlineStr">
        <is>
          <t>La Grange</t>
        </is>
      </c>
      <c r="F68" t="inlineStr">
        <is>
          <t>Chief Engineer / Accountable Manager</t>
        </is>
      </c>
      <c r="G68" t="n">
        <v>27824660204</v>
      </c>
    </row>
    <row r="69">
      <c r="A69" s="6">
        <f>IFERROR(VLOOKUP($B69,Company_Cat!$B$2:$E$623,2,FALSE),"")</f>
        <v/>
      </c>
      <c r="B69" s="4" t="inlineStr">
        <is>
          <t>Superior Aeroworx</t>
        </is>
      </c>
      <c r="C69" s="6">
        <f>IFERROR(VLOOKUP($B69,Company_Cat!$B$2:$H$623,6,FALSE),"")</f>
        <v/>
      </c>
      <c r="D69" t="inlineStr">
        <is>
          <t>Eddie</t>
        </is>
      </c>
      <c r="E69" t="inlineStr">
        <is>
          <t>Pienaar</t>
        </is>
      </c>
      <c r="F69" t="inlineStr">
        <is>
          <t>Director / Chief Engineer</t>
        </is>
      </c>
      <c r="G69" t="n">
        <v>27765952120</v>
      </c>
      <c r="H69" s="16" t="inlineStr">
        <is>
          <t>eddiep@superiorair.co.za</t>
        </is>
      </c>
      <c r="I69" t="n">
        <v>27110365921</v>
      </c>
    </row>
    <row r="70">
      <c r="A70" s="6">
        <f>IFERROR(VLOOKUP($B70,Company_Cat!$B$2:$E$623,2,FALSE),"")</f>
        <v/>
      </c>
      <c r="B70" s="4" t="inlineStr">
        <is>
          <t>Orsmond Aviation</t>
        </is>
      </c>
      <c r="C70" s="6">
        <f>IFERROR(VLOOKUP($B70,Company_Cat!$B$2:$H$623,6,FALSE),"")</f>
        <v/>
      </c>
    </row>
    <row r="71">
      <c r="A71" s="6">
        <f>IFERROR(VLOOKUP($B71,Company_Cat!$B$2:$E$623,2,FALSE),"")</f>
        <v/>
      </c>
      <c r="B71" s="4" t="n"/>
      <c r="C71" s="6">
        <f>IFERROR(VLOOKUP($B71,Company_Cat!$B$2:$H$623,6,FALSE),"")</f>
        <v/>
      </c>
    </row>
    <row r="72">
      <c r="A72" s="6">
        <f>IFERROR(VLOOKUP($B72,Company_Cat!$B$2:$E$623,2,FALSE),"")</f>
        <v/>
      </c>
      <c r="B72" s="4" t="n"/>
      <c r="C72" s="6">
        <f>IFERROR(VLOOKUP($B72,Company_Cat!$B$2:$H$623,6,FALSE),"")</f>
        <v/>
      </c>
    </row>
    <row r="73">
      <c r="A73" s="6">
        <f>IFERROR(VLOOKUP($B73,Company_Cat!$B$2:$E$623,2,FALSE),"")</f>
        <v/>
      </c>
      <c r="B73" s="4" t="n"/>
      <c r="C73" s="6">
        <f>IFERROR(VLOOKUP($B73,Company_Cat!$B$2:$H$623,6,FALSE),"")</f>
        <v/>
      </c>
    </row>
    <row r="74">
      <c r="A74" s="6">
        <f>IFERROR(VLOOKUP($B74,Company_Cat!$B$2:$E$623,2,FALSE),"")</f>
        <v/>
      </c>
      <c r="B74" s="4" t="n"/>
      <c r="C74" s="6">
        <f>IFERROR(VLOOKUP($B74,Company_Cat!$B$2:$H$623,6,FALSE),"")</f>
        <v/>
      </c>
    </row>
    <row r="75">
      <c r="A75" s="6">
        <f>IFERROR(VLOOKUP($B75,Company_Cat!$B$2:$E$623,2,FALSE),"")</f>
        <v/>
      </c>
      <c r="B75" s="4" t="n"/>
      <c r="C75" s="6">
        <f>IFERROR(VLOOKUP($B75,Company_Cat!$B$2:$H$623,6,FALSE),"")</f>
        <v/>
      </c>
    </row>
    <row r="76">
      <c r="A76" s="6">
        <f>IFERROR(VLOOKUP($B76,Company_Cat!$B$2:$E$623,2,FALSE),"")</f>
        <v/>
      </c>
      <c r="B76" s="4" t="n"/>
      <c r="C76" s="6">
        <f>IFERROR(VLOOKUP($B76,Company_Cat!$B$2:$H$623,6,FALSE),"")</f>
        <v/>
      </c>
    </row>
    <row r="77">
      <c r="A77" s="6">
        <f>IFERROR(VLOOKUP($B77,Company_Cat!$B$2:$E$623,2,FALSE),"")</f>
        <v/>
      </c>
      <c r="B77" s="4" t="n"/>
      <c r="C77" s="6">
        <f>IFERROR(VLOOKUP($B77,Company_Cat!$B$2:$H$623,6,FALSE),"")</f>
        <v/>
      </c>
    </row>
    <row r="78">
      <c r="A78" s="6">
        <f>IFERROR(VLOOKUP($B78,Company_Cat!$B$2:$E$623,2,FALSE),"")</f>
        <v/>
      </c>
      <c r="B78" s="4" t="n"/>
      <c r="C78" s="6">
        <f>IFERROR(VLOOKUP($B78,Company_Cat!$B$2:$H$623,6,FALSE),"")</f>
        <v/>
      </c>
    </row>
    <row r="79">
      <c r="A79" s="6">
        <f>IFERROR(VLOOKUP($B79,Company_Cat!$B$2:$E$623,2,FALSE),"")</f>
        <v/>
      </c>
      <c r="B79" s="4" t="n"/>
      <c r="C79" s="6">
        <f>IFERROR(VLOOKUP($B79,Company_Cat!$B$2:$H$623,6,FALSE),"")</f>
        <v/>
      </c>
    </row>
    <row r="80">
      <c r="A80" s="6">
        <f>IFERROR(VLOOKUP($B80,Company_Cat!$B$2:$E$623,2,FALSE),"")</f>
        <v/>
      </c>
      <c r="B80" s="4" t="n"/>
      <c r="C80" s="6">
        <f>IFERROR(VLOOKUP($B80,Company_Cat!$B$2:$H$623,6,FALSE),"")</f>
        <v/>
      </c>
    </row>
    <row r="81">
      <c r="A81" s="6">
        <f>IFERROR(VLOOKUP($B81,Company_Cat!$B$2:$E$623,2,FALSE),"")</f>
        <v/>
      </c>
      <c r="B81" s="4" t="n"/>
      <c r="C81" s="6">
        <f>IFERROR(VLOOKUP($B81,Company_Cat!$B$2:$H$623,6,FALSE),"")</f>
        <v/>
      </c>
    </row>
    <row r="82">
      <c r="A82" s="6">
        <f>IFERROR(VLOOKUP($B82,Company_Cat!$B$2:$E$623,2,FALSE),"")</f>
        <v/>
      </c>
      <c r="B82" s="4" t="n"/>
      <c r="C82" s="6">
        <f>IFERROR(VLOOKUP($B82,Company_Cat!$B$2:$H$623,6,FALSE),"")</f>
        <v/>
      </c>
    </row>
    <row r="83">
      <c r="A83" s="6">
        <f>IFERROR(VLOOKUP($B83,Company_Cat!$B$2:$E$623,2,FALSE),"")</f>
        <v/>
      </c>
      <c r="B83" s="4" t="n"/>
      <c r="C83" s="6">
        <f>IFERROR(VLOOKUP($B83,Company_Cat!$B$2:$H$623,6,FALSE),"")</f>
        <v/>
      </c>
    </row>
    <row r="84">
      <c r="A84" s="6">
        <f>IFERROR(VLOOKUP($B84,Company_Cat!$B$2:$E$623,2,FALSE),"")</f>
        <v/>
      </c>
      <c r="B84" s="4" t="n"/>
      <c r="C84" s="6">
        <f>IFERROR(VLOOKUP($B84,Company_Cat!$B$2:$H$623,6,FALSE),"")</f>
        <v/>
      </c>
    </row>
    <row r="85">
      <c r="A85" s="6">
        <f>IFERROR(VLOOKUP($B85,Company_Cat!$B$2:$E$623,2,FALSE),"")</f>
        <v/>
      </c>
      <c r="B85" s="4" t="n"/>
      <c r="C85" s="6">
        <f>IFERROR(VLOOKUP($B85,Company_Cat!$B$2:$H$623,6,FALSE),"")</f>
        <v/>
      </c>
    </row>
    <row r="86">
      <c r="A86" s="6">
        <f>IFERROR(VLOOKUP($B86,Company_Cat!$B$2:$E$623,2,FALSE),"")</f>
        <v/>
      </c>
      <c r="B86" s="4" t="n"/>
      <c r="C86" s="6">
        <f>IFERROR(VLOOKUP($B86,Company_Cat!$B$2:$H$623,6,FALSE),"")</f>
        <v/>
      </c>
    </row>
    <row r="87">
      <c r="A87" s="6">
        <f>IFERROR(VLOOKUP($B87,Company_Cat!$B$2:$E$623,2,FALSE),"")</f>
        <v/>
      </c>
      <c r="B87" s="4" t="n"/>
      <c r="C87" s="6">
        <f>IFERROR(VLOOKUP($B87,Company_Cat!$B$2:$H$623,6,FALSE),"")</f>
        <v/>
      </c>
    </row>
    <row r="88">
      <c r="A88" s="6">
        <f>IFERROR(VLOOKUP($B88,Company_Cat!$B$2:$E$623,2,FALSE),"")</f>
        <v/>
      </c>
      <c r="B88" s="4" t="n"/>
      <c r="C88" s="6">
        <f>IFERROR(VLOOKUP($B88,Company_Cat!$B$2:$H$623,6,FALSE),"")</f>
        <v/>
      </c>
    </row>
    <row r="89">
      <c r="A89" s="6">
        <f>IFERROR(VLOOKUP($B89,Company_Cat!$B$2:$E$623,2,FALSE),"")</f>
        <v/>
      </c>
      <c r="B89" s="4" t="n"/>
      <c r="C89" s="6">
        <f>IFERROR(VLOOKUP($B89,Company_Cat!$B$2:$H$623,6,FALSE),"")</f>
        <v/>
      </c>
    </row>
    <row r="90">
      <c r="A90" s="6">
        <f>IFERROR(VLOOKUP($B90,Company_Cat!$B$2:$E$623,2,FALSE),"")</f>
        <v/>
      </c>
      <c r="B90" s="4" t="n"/>
      <c r="C90" s="6">
        <f>IFERROR(VLOOKUP($B90,Company_Cat!$B$2:$H$623,6,FALSE),"")</f>
        <v/>
      </c>
    </row>
    <row r="91">
      <c r="A91" s="6">
        <f>IFERROR(VLOOKUP($B91,Company_Cat!$B$2:$E$623,2,FALSE),"")</f>
        <v/>
      </c>
      <c r="B91" s="4" t="n"/>
      <c r="C91" s="6">
        <f>IFERROR(VLOOKUP($B91,Company_Cat!$B$2:$H$623,6,FALSE),"")</f>
        <v/>
      </c>
    </row>
    <row r="92">
      <c r="A92" s="6">
        <f>IFERROR(VLOOKUP($B92,Company_Cat!$B$2:$E$623,2,FALSE),"")</f>
        <v/>
      </c>
      <c r="B92" s="4" t="n"/>
      <c r="C92" s="6">
        <f>IFERROR(VLOOKUP($B92,Company_Cat!$B$2:$H$623,6,FALSE),"")</f>
        <v/>
      </c>
    </row>
    <row r="93">
      <c r="A93" s="6">
        <f>IFERROR(VLOOKUP($B93,Company_Cat!$B$2:$E$623,2,FALSE),"")</f>
        <v/>
      </c>
      <c r="B93" s="4" t="n"/>
      <c r="C93" s="6">
        <f>IFERROR(VLOOKUP($B93,Company_Cat!$B$2:$H$623,6,FALSE),"")</f>
        <v/>
      </c>
    </row>
    <row r="94">
      <c r="A94" s="6">
        <f>IFERROR(VLOOKUP($B94,Company_Cat!$B$2:$E$623,2,FALSE),"")</f>
        <v/>
      </c>
      <c r="B94" s="4" t="n"/>
      <c r="C94" s="6">
        <f>IFERROR(VLOOKUP($B94,Company_Cat!$B$2:$H$623,6,FALSE),"")</f>
        <v/>
      </c>
    </row>
    <row r="95">
      <c r="A95" s="6">
        <f>IFERROR(VLOOKUP($B95,Company_Cat!$B$2:$E$623,2,FALSE),"")</f>
        <v/>
      </c>
      <c r="B95" s="4" t="n"/>
      <c r="C95" s="6">
        <f>IFERROR(VLOOKUP($B95,Company_Cat!$B$2:$H$623,6,FALSE),"")</f>
        <v/>
      </c>
    </row>
    <row r="96">
      <c r="A96" s="6">
        <f>IFERROR(VLOOKUP($B96,Company_Cat!$B$2:$E$623,2,FALSE),"")</f>
        <v/>
      </c>
      <c r="B96" s="4" t="n"/>
      <c r="C96" s="6">
        <f>IFERROR(VLOOKUP($B96,Company_Cat!$B$2:$H$623,6,FALSE),"")</f>
        <v/>
      </c>
    </row>
    <row r="97">
      <c r="A97" s="6">
        <f>IFERROR(VLOOKUP($B97,Company_Cat!$B$2:$E$623,2,FALSE),"")</f>
        <v/>
      </c>
      <c r="B97" s="4" t="n"/>
      <c r="C97" s="6">
        <f>IFERROR(VLOOKUP($B97,Company_Cat!$B$2:$H$623,6,FALSE),"")</f>
        <v/>
      </c>
    </row>
    <row r="98">
      <c r="A98" s="6">
        <f>IFERROR(VLOOKUP($B98,Company_Cat!$B$2:$E$623,2,FALSE),"")</f>
        <v/>
      </c>
      <c r="B98" s="4" t="n"/>
      <c r="C98" s="6">
        <f>IFERROR(VLOOKUP($B98,Company_Cat!$B$2:$H$623,6,FALSE),"")</f>
        <v/>
      </c>
    </row>
    <row r="99">
      <c r="A99" s="6">
        <f>IFERROR(VLOOKUP($B99,Company_Cat!$B$2:$E$623,2,FALSE),"")</f>
        <v/>
      </c>
      <c r="B99" s="4" t="n"/>
      <c r="C99" s="6">
        <f>IFERROR(VLOOKUP($B99,Company_Cat!$B$2:$H$623,6,FALSE),"")</f>
        <v/>
      </c>
    </row>
    <row r="100">
      <c r="A100" s="6">
        <f>IFERROR(VLOOKUP($B100,Company_Cat!$B$2:$E$623,2,FALSE),"")</f>
        <v/>
      </c>
      <c r="B100" s="4" t="n"/>
      <c r="C100" s="6">
        <f>IFERROR(VLOOKUP($B100,Company_Cat!$B$2:$H$623,6,FALSE),"")</f>
        <v/>
      </c>
    </row>
    <row r="101">
      <c r="A101" s="6">
        <f>IFERROR(VLOOKUP($B101,Company_Cat!$B$2:$E$623,2,FALSE),"")</f>
        <v/>
      </c>
      <c r="B101" s="4" t="n"/>
      <c r="C101" s="6">
        <f>IFERROR(VLOOKUP($B101,Company_Cat!$B$2:$H$623,6,FALSE),"")</f>
        <v/>
      </c>
    </row>
    <row r="102">
      <c r="A102" s="6">
        <f>IFERROR(VLOOKUP($B102,Company_Cat!$B$2:$E$623,2,FALSE),"")</f>
        <v/>
      </c>
      <c r="B102" s="4" t="n"/>
      <c r="C102" s="6">
        <f>IFERROR(VLOOKUP($B102,Company_Cat!$B$2:$H$623,6,FALSE),"")</f>
        <v/>
      </c>
    </row>
    <row r="103">
      <c r="A103" s="6">
        <f>IFERROR(VLOOKUP($B103,Company_Cat!$B$2:$E$623,2,FALSE),"")</f>
        <v/>
      </c>
      <c r="B103" s="4" t="n"/>
      <c r="C103" s="6">
        <f>IFERROR(VLOOKUP($B103,Company_Cat!$B$2:$H$623,6,FALSE),"")</f>
        <v/>
      </c>
    </row>
    <row r="104">
      <c r="A104" s="6">
        <f>IFERROR(VLOOKUP($B104,Company_Cat!$B$2:$E$623,2,FALSE),"")</f>
        <v/>
      </c>
      <c r="B104" s="4" t="n"/>
      <c r="C104" s="6">
        <f>IFERROR(VLOOKUP($B104,Company_Cat!$B$2:$H$623,6,FALSE),"")</f>
        <v/>
      </c>
    </row>
    <row r="105">
      <c r="A105" s="6">
        <f>IFERROR(VLOOKUP($B105,Company_Cat!$B$2:$E$623,2,FALSE),"")</f>
        <v/>
      </c>
      <c r="B105" s="4" t="n"/>
      <c r="C105" s="6">
        <f>IFERROR(VLOOKUP($B105,Company_Cat!$B$2:$H$623,6,FALSE),"")</f>
        <v/>
      </c>
    </row>
    <row r="106">
      <c r="A106" s="6">
        <f>IFERROR(VLOOKUP($B106,Company_Cat!$B$2:$E$623,2,FALSE),"")</f>
        <v/>
      </c>
      <c r="B106" s="4" t="n"/>
      <c r="C106" s="6">
        <f>IFERROR(VLOOKUP($B106,Company_Cat!$B$2:$H$623,6,FALSE),"")</f>
        <v/>
      </c>
    </row>
    <row r="107">
      <c r="A107" s="6">
        <f>IFERROR(VLOOKUP($B107,Company_Cat!$B$2:$E$623,2,FALSE),"")</f>
        <v/>
      </c>
      <c r="B107" s="4" t="n"/>
      <c r="C107" s="6">
        <f>IFERROR(VLOOKUP($B107,Company_Cat!$B$2:$H$623,6,FALSE),"")</f>
        <v/>
      </c>
    </row>
    <row r="108">
      <c r="A108" s="6">
        <f>IFERROR(VLOOKUP($B108,Company_Cat!$B$2:$E$623,2,FALSE),"")</f>
        <v/>
      </c>
      <c r="B108" s="4" t="n"/>
      <c r="C108" s="6">
        <f>IFERROR(VLOOKUP($B108,Company_Cat!$B$2:$H$623,6,FALSE),"")</f>
        <v/>
      </c>
    </row>
    <row r="109">
      <c r="A109" s="6">
        <f>IFERROR(VLOOKUP($B109,Company_Cat!$B$2:$E$623,2,FALSE),"")</f>
        <v/>
      </c>
      <c r="B109" s="4" t="n"/>
      <c r="C109" s="6">
        <f>IFERROR(VLOOKUP($B109,Company_Cat!$B$2:$H$623,6,FALSE),"")</f>
        <v/>
      </c>
    </row>
    <row r="110">
      <c r="A110" s="6">
        <f>IFERROR(VLOOKUP($B110,Company_Cat!$B$2:$E$623,2,FALSE),"")</f>
        <v/>
      </c>
      <c r="B110" s="4" t="n"/>
      <c r="C110" s="6">
        <f>IFERROR(VLOOKUP($B110,Company_Cat!$B$2:$H$623,6,FALSE),"")</f>
        <v/>
      </c>
    </row>
    <row r="111">
      <c r="A111" s="6">
        <f>IFERROR(VLOOKUP($B111,Company_Cat!$B$2:$E$623,2,FALSE),"")</f>
        <v/>
      </c>
      <c r="B111" s="4" t="n"/>
      <c r="C111" s="6">
        <f>IFERROR(VLOOKUP($B111,Company_Cat!$B$2:$H$623,6,FALSE),"")</f>
        <v/>
      </c>
    </row>
    <row r="112">
      <c r="A112" s="6">
        <f>IFERROR(VLOOKUP($B112,Company_Cat!$B$2:$E$623,2,FALSE),"")</f>
        <v/>
      </c>
      <c r="B112" s="4" t="n"/>
      <c r="C112" s="6">
        <f>IFERROR(VLOOKUP($B112,Company_Cat!$B$2:$H$623,6,FALSE),"")</f>
        <v/>
      </c>
    </row>
    <row r="113">
      <c r="A113" s="6">
        <f>IFERROR(VLOOKUP($B113,Company_Cat!$B$2:$E$623,2,FALSE),"")</f>
        <v/>
      </c>
      <c r="B113" s="4" t="n"/>
      <c r="C113" s="6">
        <f>IFERROR(VLOOKUP($B113,Company_Cat!$B$2:$H$623,6,FALSE),"")</f>
        <v/>
      </c>
    </row>
    <row r="114">
      <c r="A114" s="6">
        <f>IFERROR(VLOOKUP($B114,Company_Cat!$B$2:$E$623,2,FALSE),"")</f>
        <v/>
      </c>
      <c r="B114" s="4" t="n"/>
      <c r="C114" s="6">
        <f>IFERROR(VLOOKUP($B114,Company_Cat!$B$2:$H$623,6,FALSE),"")</f>
        <v/>
      </c>
    </row>
    <row r="115">
      <c r="A115" s="6">
        <f>IFERROR(VLOOKUP($B115,Company_Cat!$B$2:$E$623,2,FALSE),"")</f>
        <v/>
      </c>
      <c r="B115" s="4" t="n"/>
      <c r="C115" s="6">
        <f>IFERROR(VLOOKUP($B115,Company_Cat!$B$2:$H$623,6,FALSE),"")</f>
        <v/>
      </c>
    </row>
    <row r="116">
      <c r="A116" s="6">
        <f>IFERROR(VLOOKUP($B116,Company_Cat!$B$2:$E$623,2,FALSE),"")</f>
        <v/>
      </c>
      <c r="B116" s="4" t="n"/>
      <c r="C116" s="6">
        <f>IFERROR(VLOOKUP($B116,Company_Cat!$B$2:$H$623,6,FALSE),"")</f>
        <v/>
      </c>
    </row>
    <row r="117">
      <c r="A117" s="6">
        <f>IFERROR(VLOOKUP($B117,Company_Cat!$B$2:$E$623,2,FALSE),"")</f>
        <v/>
      </c>
      <c r="B117" s="4" t="n"/>
      <c r="C117" s="6">
        <f>IFERROR(VLOOKUP($B117,Company_Cat!$B$2:$H$623,6,FALSE),"")</f>
        <v/>
      </c>
    </row>
    <row r="118">
      <c r="A118" s="6">
        <f>IFERROR(VLOOKUP($B118,Company_Cat!$B$2:$E$623,2,FALSE),"")</f>
        <v/>
      </c>
      <c r="B118" s="4" t="n"/>
      <c r="C118" s="6">
        <f>IFERROR(VLOOKUP($B118,Company_Cat!$B$2:$H$623,6,FALSE),"")</f>
        <v/>
      </c>
    </row>
    <row r="119">
      <c r="A119" s="6">
        <f>IFERROR(VLOOKUP($B119,Company_Cat!$B$2:$E$623,2,FALSE),"")</f>
        <v/>
      </c>
      <c r="B119" s="4" t="n"/>
      <c r="C119" s="6">
        <f>IFERROR(VLOOKUP($B119,Company_Cat!$B$2:$H$623,6,FALSE),"")</f>
        <v/>
      </c>
    </row>
    <row r="120">
      <c r="A120" s="6">
        <f>IFERROR(VLOOKUP($B120,Company_Cat!$B$2:$E$623,2,FALSE),"")</f>
        <v/>
      </c>
      <c r="B120" s="4" t="n"/>
      <c r="C120" s="6">
        <f>IFERROR(VLOOKUP($B120,Company_Cat!$B$2:$H$623,6,FALSE),"")</f>
        <v/>
      </c>
    </row>
    <row r="121">
      <c r="A121" s="6">
        <f>IFERROR(VLOOKUP($B121,Company_Cat!$B$2:$E$623,2,FALSE),"")</f>
        <v/>
      </c>
      <c r="B121" s="4" t="n"/>
      <c r="C121" s="6">
        <f>IFERROR(VLOOKUP($B121,Company_Cat!$B$2:$H$623,6,FALSE),"")</f>
        <v/>
      </c>
    </row>
    <row r="122">
      <c r="A122" s="6">
        <f>IFERROR(VLOOKUP($B122,Company_Cat!$B$2:$E$623,2,FALSE),"")</f>
        <v/>
      </c>
      <c r="B122" s="4" t="n"/>
      <c r="C122" s="6">
        <f>IFERROR(VLOOKUP($B122,Company_Cat!$B$2:$H$623,6,FALSE),"")</f>
        <v/>
      </c>
    </row>
    <row r="123">
      <c r="A123" s="6">
        <f>IFERROR(VLOOKUP($B123,Company_Cat!$B$2:$E$623,2,FALSE),"")</f>
        <v/>
      </c>
      <c r="B123" s="4" t="n"/>
      <c r="C123" s="6">
        <f>IFERROR(VLOOKUP($B123,Company_Cat!$B$2:$H$623,6,FALSE),"")</f>
        <v/>
      </c>
    </row>
    <row r="124">
      <c r="A124" s="6">
        <f>IFERROR(VLOOKUP($B124,Company_Cat!$B$2:$E$623,2,FALSE),"")</f>
        <v/>
      </c>
      <c r="B124" s="4" t="n"/>
      <c r="C124" s="6">
        <f>IFERROR(VLOOKUP($B124,Company_Cat!$B$2:$H$623,6,FALSE),"")</f>
        <v/>
      </c>
    </row>
    <row r="125">
      <c r="A125" s="6">
        <f>IFERROR(VLOOKUP($B125,Company_Cat!$B$2:$E$623,2,FALSE),"")</f>
        <v/>
      </c>
      <c r="B125" s="4" t="n"/>
      <c r="C125" s="6">
        <f>IFERROR(VLOOKUP($B125,Company_Cat!$B$2:$H$623,6,FALSE),"")</f>
        <v/>
      </c>
    </row>
    <row r="126">
      <c r="A126" s="6">
        <f>IFERROR(VLOOKUP($B126,Company_Cat!$B$2:$E$623,2,FALSE),"")</f>
        <v/>
      </c>
      <c r="B126" s="4" t="n"/>
      <c r="C126" s="6">
        <f>IFERROR(VLOOKUP($B126,Company_Cat!$B$2:$H$623,6,FALSE),"")</f>
        <v/>
      </c>
    </row>
    <row r="127">
      <c r="A127" s="6">
        <f>IFERROR(VLOOKUP($B127,Company_Cat!$B$2:$E$623,2,FALSE),"")</f>
        <v/>
      </c>
      <c r="B127" s="4" t="n"/>
      <c r="C127" s="6">
        <f>IFERROR(VLOOKUP($B127,Company_Cat!$B$2:$H$623,6,FALSE),"")</f>
        <v/>
      </c>
    </row>
    <row r="128">
      <c r="A128" s="6">
        <f>IFERROR(VLOOKUP($B128,Company_Cat!$B$2:$E$623,2,FALSE),"")</f>
        <v/>
      </c>
      <c r="B128" s="4" t="n"/>
      <c r="C128" s="6">
        <f>IFERROR(VLOOKUP($B128,Company_Cat!$B$2:$H$623,6,FALSE),"")</f>
        <v/>
      </c>
    </row>
    <row r="129">
      <c r="A129" s="6">
        <f>IFERROR(VLOOKUP($B129,Company_Cat!$B$2:$E$623,2,FALSE),"")</f>
        <v/>
      </c>
      <c r="B129" s="4" t="n"/>
      <c r="C129" s="6">
        <f>IFERROR(VLOOKUP($B129,Company_Cat!$B$2:$H$623,6,FALSE),"")</f>
        <v/>
      </c>
    </row>
    <row r="130">
      <c r="A130" s="6">
        <f>IFERROR(VLOOKUP($B130,Company_Cat!$B$2:$E$623,2,FALSE),"")</f>
        <v/>
      </c>
      <c r="B130" s="4" t="n"/>
      <c r="C130" s="6">
        <f>IFERROR(VLOOKUP($B130,Company_Cat!$B$2:$H$623,6,FALSE),"")</f>
        <v/>
      </c>
    </row>
    <row r="131">
      <c r="A131" s="6">
        <f>IFERROR(VLOOKUP($B131,Company_Cat!$B$2:$E$623,2,FALSE),"")</f>
        <v/>
      </c>
      <c r="B131" s="4" t="n"/>
      <c r="C131" s="6">
        <f>IFERROR(VLOOKUP($B131,Company_Cat!$B$2:$H$623,6,FALSE),"")</f>
        <v/>
      </c>
    </row>
    <row r="132">
      <c r="A132" s="6">
        <f>IFERROR(VLOOKUP($B132,Company_Cat!$B$2:$E$623,2,FALSE),"")</f>
        <v/>
      </c>
      <c r="B132" s="4" t="n"/>
      <c r="C132" s="6">
        <f>IFERROR(VLOOKUP($B132,Company_Cat!$B$2:$H$623,6,FALSE),"")</f>
        <v/>
      </c>
    </row>
    <row r="133">
      <c r="A133" s="6">
        <f>IFERROR(VLOOKUP($B133,Company_Cat!$B$2:$E$623,2,FALSE),"")</f>
        <v/>
      </c>
      <c r="B133" s="4" t="n"/>
      <c r="C133" s="6">
        <f>IFERROR(VLOOKUP($B133,Company_Cat!$B$2:$H$623,6,FALSE),"")</f>
        <v/>
      </c>
    </row>
    <row r="134">
      <c r="A134" s="6">
        <f>IFERROR(VLOOKUP($B134,Company_Cat!$B$2:$E$623,2,FALSE),"")</f>
        <v/>
      </c>
      <c r="B134" s="4" t="n"/>
      <c r="C134" s="6">
        <f>IFERROR(VLOOKUP($B134,Company_Cat!$B$2:$H$623,6,FALSE),"")</f>
        <v/>
      </c>
    </row>
    <row r="135">
      <c r="A135" s="6">
        <f>IFERROR(VLOOKUP($B135,Company_Cat!$B$2:$E$623,2,FALSE),"")</f>
        <v/>
      </c>
      <c r="B135" s="4" t="n"/>
      <c r="C135" s="6">
        <f>IFERROR(VLOOKUP($B135,Company_Cat!$B$2:$H$623,6,FALSE),"")</f>
        <v/>
      </c>
    </row>
    <row r="136">
      <c r="A136" s="6">
        <f>IFERROR(VLOOKUP($B136,Company_Cat!$B$2:$E$623,2,FALSE),"")</f>
        <v/>
      </c>
      <c r="B136" s="4" t="n"/>
      <c r="C136" s="6">
        <f>IFERROR(VLOOKUP($B136,Company_Cat!$B$2:$H$623,6,FALSE),"")</f>
        <v/>
      </c>
    </row>
    <row r="137">
      <c r="A137" s="6">
        <f>IFERROR(VLOOKUP($B137,Company_Cat!$B$2:$E$623,2,FALSE),"")</f>
        <v/>
      </c>
      <c r="B137" s="4" t="n"/>
      <c r="C137" s="6">
        <f>IFERROR(VLOOKUP($B137,Company_Cat!$B$2:$H$623,6,FALSE),"")</f>
        <v/>
      </c>
    </row>
    <row r="138">
      <c r="A138" s="6">
        <f>IFERROR(VLOOKUP($B138,Company_Cat!$B$2:$E$623,2,FALSE),"")</f>
        <v/>
      </c>
      <c r="B138" s="4" t="n"/>
      <c r="C138" s="6">
        <f>IFERROR(VLOOKUP($B138,Company_Cat!$B$2:$H$623,6,FALSE),"")</f>
        <v/>
      </c>
    </row>
    <row r="139">
      <c r="A139" s="6">
        <f>IFERROR(VLOOKUP($B139,Company_Cat!$B$2:$E$623,2,FALSE),"")</f>
        <v/>
      </c>
      <c r="B139" s="4" t="n"/>
      <c r="C139" s="6">
        <f>IFERROR(VLOOKUP($B139,Company_Cat!$B$2:$H$623,6,FALSE),"")</f>
        <v/>
      </c>
    </row>
    <row r="140">
      <c r="A140" s="6">
        <f>IFERROR(VLOOKUP($B140,Company_Cat!$B$2:$E$623,2,FALSE),"")</f>
        <v/>
      </c>
      <c r="B140" s="4" t="n"/>
      <c r="C140" s="6">
        <f>IFERROR(VLOOKUP($B140,Company_Cat!$B$2:$H$623,6,FALSE),"")</f>
        <v/>
      </c>
    </row>
    <row r="141">
      <c r="A141" s="6">
        <f>IFERROR(VLOOKUP($B141,Company_Cat!$B$2:$E$623,2,FALSE),"")</f>
        <v/>
      </c>
      <c r="B141" s="4" t="n"/>
      <c r="C141" s="6">
        <f>IFERROR(VLOOKUP($B141,Company_Cat!$B$2:$H$623,6,FALSE),"")</f>
        <v/>
      </c>
    </row>
    <row r="142">
      <c r="A142" s="6">
        <f>IFERROR(VLOOKUP($B142,Company_Cat!$B$2:$E$623,2,FALSE),"")</f>
        <v/>
      </c>
      <c r="B142" s="4" t="n"/>
      <c r="C142" s="6">
        <f>IFERROR(VLOOKUP($B142,Company_Cat!$B$2:$H$623,6,FALSE),"")</f>
        <v/>
      </c>
    </row>
    <row r="143">
      <c r="A143" s="6">
        <f>IFERROR(VLOOKUP($B143,Company_Cat!$B$2:$E$623,2,FALSE),"")</f>
        <v/>
      </c>
      <c r="B143" s="4" t="n"/>
      <c r="C143" s="6">
        <f>IFERROR(VLOOKUP($B143,Company_Cat!$B$2:$H$623,6,FALSE),"")</f>
        <v/>
      </c>
    </row>
    <row r="144">
      <c r="A144" s="6">
        <f>IFERROR(VLOOKUP($B144,Company_Cat!$B$2:$E$623,2,FALSE),"")</f>
        <v/>
      </c>
      <c r="B144" s="4" t="n"/>
      <c r="C144" s="6">
        <f>IFERROR(VLOOKUP($B144,Company_Cat!$B$2:$H$623,6,FALSE),"")</f>
        <v/>
      </c>
    </row>
    <row r="145">
      <c r="A145" s="6">
        <f>IFERROR(VLOOKUP($B145,Company_Cat!$B$2:$E$623,2,FALSE),"")</f>
        <v/>
      </c>
      <c r="B145" s="4" t="n"/>
      <c r="C145" s="6">
        <f>IFERROR(VLOOKUP($B145,Company_Cat!$B$2:$H$623,6,FALSE),"")</f>
        <v/>
      </c>
    </row>
    <row r="146">
      <c r="A146" s="6">
        <f>IFERROR(VLOOKUP($B146,Company_Cat!$B$2:$E$623,2,FALSE),"")</f>
        <v/>
      </c>
      <c r="B146" s="4" t="n"/>
      <c r="C146" s="6">
        <f>IFERROR(VLOOKUP($B146,Company_Cat!$B$2:$H$623,6,FALSE),"")</f>
        <v/>
      </c>
    </row>
    <row r="147">
      <c r="A147" s="6">
        <f>IFERROR(VLOOKUP($B147,Company_Cat!$B$2:$E$623,2,FALSE),"")</f>
        <v/>
      </c>
      <c r="B147" s="4" t="n"/>
      <c r="C147" s="6">
        <f>IFERROR(VLOOKUP($B147,Company_Cat!$B$2:$H$623,6,FALSE),"")</f>
        <v/>
      </c>
    </row>
    <row r="148">
      <c r="A148" s="6">
        <f>IFERROR(VLOOKUP($B148,Company_Cat!$B$2:$E$623,2,FALSE),"")</f>
        <v/>
      </c>
      <c r="B148" s="4" t="n"/>
      <c r="C148" s="6">
        <f>IFERROR(VLOOKUP($B148,Company_Cat!$B$2:$H$623,6,FALSE),"")</f>
        <v/>
      </c>
    </row>
    <row r="149">
      <c r="A149" s="6">
        <f>IFERROR(VLOOKUP($B149,Company_Cat!$B$2:$E$623,2,FALSE),"")</f>
        <v/>
      </c>
      <c r="B149" s="4" t="n"/>
      <c r="C149" s="6">
        <f>IFERROR(VLOOKUP($B149,Company_Cat!$B$2:$H$623,6,FALSE),"")</f>
        <v/>
      </c>
    </row>
    <row r="150">
      <c r="A150" s="6">
        <f>IFERROR(VLOOKUP($B150,Company_Cat!$B$2:$E$623,2,FALSE),"")</f>
        <v/>
      </c>
      <c r="B150" s="4" t="n"/>
      <c r="C150" s="6">
        <f>IFERROR(VLOOKUP($B150,Company_Cat!$B$2:$H$623,6,FALSE),"")</f>
        <v/>
      </c>
    </row>
    <row r="151">
      <c r="A151" s="6">
        <f>IFERROR(VLOOKUP($B151,Company_Cat!$B$2:$E$623,2,FALSE),"")</f>
        <v/>
      </c>
      <c r="B151" s="4" t="n"/>
      <c r="C151" s="6">
        <f>IFERROR(VLOOKUP($B151,Company_Cat!$B$2:$H$623,6,FALSE),"")</f>
        <v/>
      </c>
    </row>
    <row r="152">
      <c r="A152" s="6">
        <f>IFERROR(VLOOKUP($B152,Company_Cat!$B$2:$E$623,2,FALSE),"")</f>
        <v/>
      </c>
      <c r="B152" s="4" t="n"/>
      <c r="C152" s="6">
        <f>IFERROR(VLOOKUP($B152,Company_Cat!$B$2:$H$623,6,FALSE),"")</f>
        <v/>
      </c>
    </row>
    <row r="153">
      <c r="A153" s="6">
        <f>IFERROR(VLOOKUP($B153,Company_Cat!$B$2:$E$623,2,FALSE),"")</f>
        <v/>
      </c>
      <c r="B153" s="4" t="n"/>
      <c r="C153" s="6">
        <f>IFERROR(VLOOKUP($B153,Company_Cat!$B$2:$H$623,6,FALSE),"")</f>
        <v/>
      </c>
    </row>
    <row r="154">
      <c r="A154" s="6">
        <f>IFERROR(VLOOKUP($B154,Company_Cat!$B$2:$E$623,2,FALSE),"")</f>
        <v/>
      </c>
      <c r="B154" s="4" t="n"/>
      <c r="C154" s="6">
        <f>IFERROR(VLOOKUP($B154,Company_Cat!$B$2:$H$623,6,FALSE),"")</f>
        <v/>
      </c>
    </row>
    <row r="155">
      <c r="A155" s="6">
        <f>IFERROR(VLOOKUP($B155,Company_Cat!$B$2:$E$623,2,FALSE),"")</f>
        <v/>
      </c>
      <c r="B155" s="4" t="n"/>
      <c r="C155" s="6">
        <f>IFERROR(VLOOKUP($B155,Company_Cat!$B$2:$H$623,6,FALSE),"")</f>
        <v/>
      </c>
    </row>
    <row r="156">
      <c r="A156" s="6">
        <f>IFERROR(VLOOKUP($B156,Company_Cat!$B$2:$E$623,2,FALSE),"")</f>
        <v/>
      </c>
      <c r="B156" s="4" t="n"/>
      <c r="C156" s="6">
        <f>IFERROR(VLOOKUP($B156,Company_Cat!$B$2:$H$623,6,FALSE),"")</f>
        <v/>
      </c>
    </row>
    <row r="157">
      <c r="A157" s="6">
        <f>IFERROR(VLOOKUP($B157,Company_Cat!$B$2:$E$623,2,FALSE),"")</f>
        <v/>
      </c>
      <c r="B157" s="4" t="n"/>
      <c r="C157" s="6">
        <f>IFERROR(VLOOKUP($B157,Company_Cat!$B$2:$H$623,6,FALSE),"")</f>
        <v/>
      </c>
    </row>
    <row r="158">
      <c r="A158" s="6">
        <f>IFERROR(VLOOKUP($B158,Company_Cat!$B$2:$E$623,2,FALSE),"")</f>
        <v/>
      </c>
      <c r="B158" s="4" t="n"/>
      <c r="C158" s="6">
        <f>IFERROR(VLOOKUP($B158,Company_Cat!$B$2:$H$623,6,FALSE),"")</f>
        <v/>
      </c>
    </row>
    <row r="159">
      <c r="A159" s="6">
        <f>IFERROR(VLOOKUP($B159,Company_Cat!$B$2:$E$623,2,FALSE),"")</f>
        <v/>
      </c>
      <c r="B159" s="4" t="n"/>
      <c r="C159" s="6">
        <f>IFERROR(VLOOKUP($B159,Company_Cat!$B$2:$H$623,6,FALSE),"")</f>
        <v/>
      </c>
    </row>
    <row r="160">
      <c r="A160" s="6">
        <f>IFERROR(VLOOKUP($B160,Company_Cat!$B$2:$E$623,2,FALSE),"")</f>
        <v/>
      </c>
      <c r="B160" s="4" t="n"/>
      <c r="C160" s="6">
        <f>IFERROR(VLOOKUP($B160,Company_Cat!$B$2:$H$623,6,FALSE),"")</f>
        <v/>
      </c>
    </row>
    <row r="161">
      <c r="A161" s="6">
        <f>IFERROR(VLOOKUP($B161,Company_Cat!$B$2:$E$623,2,FALSE),"")</f>
        <v/>
      </c>
      <c r="B161" s="4" t="n"/>
      <c r="C161" s="6">
        <f>IFERROR(VLOOKUP($B161,Company_Cat!$B$2:$H$623,6,FALSE),"")</f>
        <v/>
      </c>
    </row>
    <row r="162">
      <c r="A162" s="6">
        <f>IFERROR(VLOOKUP($B162,Company_Cat!$B$2:$E$623,2,FALSE),"")</f>
        <v/>
      </c>
      <c r="B162" s="4" t="n"/>
      <c r="C162" s="6">
        <f>IFERROR(VLOOKUP($B162,Company_Cat!$B$2:$H$623,6,FALSE),"")</f>
        <v/>
      </c>
    </row>
    <row r="163">
      <c r="A163" s="6">
        <f>IFERROR(VLOOKUP($B163,Company_Cat!$B$2:$E$623,2,FALSE),"")</f>
        <v/>
      </c>
      <c r="B163" s="4" t="n"/>
      <c r="C163" s="6">
        <f>IFERROR(VLOOKUP($B163,Company_Cat!$B$2:$H$623,6,FALSE),"")</f>
        <v/>
      </c>
    </row>
    <row r="164">
      <c r="A164" s="6">
        <f>IFERROR(VLOOKUP($B164,Company_Cat!$B$2:$E$623,2,FALSE),"")</f>
        <v/>
      </c>
      <c r="B164" s="4" t="n"/>
      <c r="C164" s="6">
        <f>IFERROR(VLOOKUP($B164,Company_Cat!$B$2:$H$623,6,FALSE),"")</f>
        <v/>
      </c>
    </row>
    <row r="165">
      <c r="A165" s="6">
        <f>IFERROR(VLOOKUP($B165,Company_Cat!$B$2:$E$623,2,FALSE),"")</f>
        <v/>
      </c>
      <c r="B165" s="4" t="n"/>
      <c r="C165" s="6">
        <f>IFERROR(VLOOKUP($B165,Company_Cat!$B$2:$H$623,6,FALSE),"")</f>
        <v/>
      </c>
    </row>
    <row r="166">
      <c r="A166" s="6">
        <f>IFERROR(VLOOKUP($B166,Company_Cat!$B$2:$E$623,2,FALSE),"")</f>
        <v/>
      </c>
      <c r="B166" s="4" t="n"/>
      <c r="C166" s="6">
        <f>IFERROR(VLOOKUP($B166,Company_Cat!$B$2:$H$623,6,FALSE),"")</f>
        <v/>
      </c>
    </row>
    <row r="167">
      <c r="A167" s="6">
        <f>IFERROR(VLOOKUP($B167,Company_Cat!$B$2:$E$623,2,FALSE),"")</f>
        <v/>
      </c>
      <c r="B167" s="4" t="n"/>
      <c r="C167" s="6">
        <f>IFERROR(VLOOKUP($B167,Company_Cat!$B$2:$H$623,6,FALSE),"")</f>
        <v/>
      </c>
    </row>
    <row r="168">
      <c r="A168" s="6">
        <f>IFERROR(VLOOKUP($B168,Company_Cat!$B$2:$E$623,2,FALSE),"")</f>
        <v/>
      </c>
      <c r="B168" s="4" t="n"/>
      <c r="C168" s="6">
        <f>IFERROR(VLOOKUP($B168,Company_Cat!$B$2:$H$623,6,FALSE),"")</f>
        <v/>
      </c>
    </row>
    <row r="169">
      <c r="A169" s="6">
        <f>IFERROR(VLOOKUP($B169,Company_Cat!$B$2:$E$623,2,FALSE),"")</f>
        <v/>
      </c>
      <c r="B169" s="4" t="n"/>
      <c r="C169" s="6">
        <f>IFERROR(VLOOKUP($B169,Company_Cat!$B$2:$H$623,6,FALSE),"")</f>
        <v/>
      </c>
    </row>
    <row r="170">
      <c r="A170" s="6">
        <f>IFERROR(VLOOKUP($B170,Company_Cat!$B$2:$E$623,2,FALSE),"")</f>
        <v/>
      </c>
      <c r="B170" s="4" t="n"/>
      <c r="C170" s="6">
        <f>IFERROR(VLOOKUP($B170,Company_Cat!$B$2:$H$623,6,FALSE),"")</f>
        <v/>
      </c>
    </row>
    <row r="171">
      <c r="A171" s="6">
        <f>IFERROR(VLOOKUP($B171,Company_Cat!$B$2:$E$623,2,FALSE),"")</f>
        <v/>
      </c>
      <c r="B171" s="4" t="n"/>
      <c r="C171" s="6">
        <f>IFERROR(VLOOKUP($B171,Company_Cat!$B$2:$H$623,6,FALSE),"")</f>
        <v/>
      </c>
    </row>
    <row r="172">
      <c r="A172" s="6">
        <f>IFERROR(VLOOKUP($B172,Company_Cat!$B$2:$E$623,2,FALSE),"")</f>
        <v/>
      </c>
      <c r="B172" s="4" t="n"/>
      <c r="C172" s="6">
        <f>IFERROR(VLOOKUP($B172,Company_Cat!$B$2:$H$623,6,FALSE),"")</f>
        <v/>
      </c>
    </row>
    <row r="173">
      <c r="A173" s="6">
        <f>IFERROR(VLOOKUP($B173,Company_Cat!$B$2:$E$623,2,FALSE),"")</f>
        <v/>
      </c>
      <c r="B173" s="4" t="n"/>
      <c r="C173" s="6">
        <f>IFERROR(VLOOKUP($B173,Company_Cat!$B$2:$H$623,6,FALSE),"")</f>
        <v/>
      </c>
    </row>
    <row r="174">
      <c r="A174" s="6">
        <f>IFERROR(VLOOKUP($B174,Company_Cat!$B$2:$E$623,2,FALSE),"")</f>
        <v/>
      </c>
      <c r="B174" s="4" t="n"/>
      <c r="C174" s="6">
        <f>IFERROR(VLOOKUP($B174,Company_Cat!$B$2:$H$623,6,FALSE),"")</f>
        <v/>
      </c>
    </row>
    <row r="175">
      <c r="A175" s="6">
        <f>IFERROR(VLOOKUP($B175,Company_Cat!$B$2:$E$623,2,FALSE),"")</f>
        <v/>
      </c>
      <c r="B175" s="4" t="n"/>
      <c r="C175" s="6">
        <f>IFERROR(VLOOKUP($B175,Company_Cat!$B$2:$H$623,6,FALSE),"")</f>
        <v/>
      </c>
    </row>
    <row r="176">
      <c r="A176" s="6">
        <f>IFERROR(VLOOKUP($B176,Company_Cat!$B$2:$E$623,2,FALSE),"")</f>
        <v/>
      </c>
      <c r="B176" s="4" t="n"/>
      <c r="C176" s="6">
        <f>IFERROR(VLOOKUP($B176,Company_Cat!$B$2:$H$623,6,FALSE),"")</f>
        <v/>
      </c>
    </row>
    <row r="177">
      <c r="A177" s="6">
        <f>IFERROR(VLOOKUP($B177,Company_Cat!$B$2:$E$623,2,FALSE),"")</f>
        <v/>
      </c>
      <c r="B177" s="4" t="n"/>
      <c r="C177" s="6">
        <f>IFERROR(VLOOKUP($B177,Company_Cat!$B$2:$H$623,6,FALSE),"")</f>
        <v/>
      </c>
    </row>
    <row r="178">
      <c r="A178" s="6">
        <f>IFERROR(VLOOKUP($B178,Company_Cat!$B$2:$E$623,2,FALSE),"")</f>
        <v/>
      </c>
      <c r="B178" s="4" t="n"/>
      <c r="C178" s="6">
        <f>IFERROR(VLOOKUP($B178,Company_Cat!$B$2:$H$623,6,FALSE),"")</f>
        <v/>
      </c>
    </row>
    <row r="179">
      <c r="A179" s="6">
        <f>IFERROR(VLOOKUP($B179,Company_Cat!$B$2:$E$623,2,FALSE),"")</f>
        <v/>
      </c>
      <c r="B179" s="4" t="n"/>
      <c r="C179" s="6">
        <f>IFERROR(VLOOKUP($B179,Company_Cat!$B$2:$H$623,6,FALSE),"")</f>
        <v/>
      </c>
    </row>
    <row r="180">
      <c r="A180" s="6">
        <f>IFERROR(VLOOKUP($B180,Company_Cat!$B$2:$E$623,2,FALSE),"")</f>
        <v/>
      </c>
      <c r="B180" s="4" t="n"/>
      <c r="C180" s="6">
        <f>IFERROR(VLOOKUP($B180,Company_Cat!$B$2:$H$623,6,FALSE),"")</f>
        <v/>
      </c>
    </row>
    <row r="181">
      <c r="A181" s="6">
        <f>IFERROR(VLOOKUP($B181,Company_Cat!$B$2:$E$623,2,FALSE),"")</f>
        <v/>
      </c>
      <c r="B181" s="4" t="n"/>
      <c r="C181" s="6">
        <f>IFERROR(VLOOKUP($B181,Company_Cat!$B$2:$H$623,6,FALSE),"")</f>
        <v/>
      </c>
    </row>
    <row r="182">
      <c r="A182" s="6">
        <f>IFERROR(VLOOKUP($B182,Company_Cat!$B$2:$E$623,2,FALSE),"")</f>
        <v/>
      </c>
      <c r="B182" s="4" t="n"/>
      <c r="C182" s="6">
        <f>IFERROR(VLOOKUP($B182,Company_Cat!$B$2:$H$623,6,FALSE),"")</f>
        <v/>
      </c>
    </row>
    <row r="183">
      <c r="A183" s="6">
        <f>IFERROR(VLOOKUP($B183,Company_Cat!$B$2:$E$623,2,FALSE),"")</f>
        <v/>
      </c>
      <c r="B183" s="4" t="n"/>
      <c r="C183" s="6">
        <f>IFERROR(VLOOKUP($B183,Company_Cat!$B$2:$H$623,6,FALSE),"")</f>
        <v/>
      </c>
    </row>
    <row r="184">
      <c r="A184" s="6">
        <f>IFERROR(VLOOKUP($B184,Company_Cat!$B$2:$E$623,2,FALSE),"")</f>
        <v/>
      </c>
      <c r="B184" s="4" t="n"/>
      <c r="C184" s="6">
        <f>IFERROR(VLOOKUP($B184,Company_Cat!$B$2:$H$623,6,FALSE),"")</f>
        <v/>
      </c>
    </row>
    <row r="185">
      <c r="A185" s="6">
        <f>IFERROR(VLOOKUP($B185,Company_Cat!$B$2:$E$623,2,FALSE),"")</f>
        <v/>
      </c>
      <c r="B185" s="4" t="n"/>
      <c r="C185" s="6">
        <f>IFERROR(VLOOKUP($B185,Company_Cat!$B$2:$H$623,6,FALSE),"")</f>
        <v/>
      </c>
    </row>
    <row r="186">
      <c r="A186" s="6">
        <f>IFERROR(VLOOKUP($B186,Company_Cat!$B$2:$E$623,2,FALSE),"")</f>
        <v/>
      </c>
      <c r="B186" s="4" t="n"/>
      <c r="C186" s="6">
        <f>IFERROR(VLOOKUP($B186,Company_Cat!$B$2:$H$623,6,FALSE),"")</f>
        <v/>
      </c>
    </row>
    <row r="187">
      <c r="A187" s="6">
        <f>IFERROR(VLOOKUP($B187,Company_Cat!$B$2:$E$623,2,FALSE),"")</f>
        <v/>
      </c>
      <c r="B187" s="4" t="n"/>
      <c r="C187" s="6">
        <f>IFERROR(VLOOKUP($B187,Company_Cat!$B$2:$H$623,6,FALSE),"")</f>
        <v/>
      </c>
    </row>
    <row r="188">
      <c r="A188" s="6">
        <f>IFERROR(VLOOKUP($B188,Company_Cat!$B$2:$E$623,2,FALSE),"")</f>
        <v/>
      </c>
      <c r="B188" s="4" t="n"/>
      <c r="C188" s="6">
        <f>IFERROR(VLOOKUP($B188,Company_Cat!$B$2:$H$623,6,FALSE),"")</f>
        <v/>
      </c>
    </row>
    <row r="189">
      <c r="A189" s="6">
        <f>IFERROR(VLOOKUP($B189,Company_Cat!$B$2:$E$623,2,FALSE),"")</f>
        <v/>
      </c>
      <c r="B189" s="4" t="n"/>
      <c r="C189" s="6">
        <f>IFERROR(VLOOKUP($B189,Company_Cat!$B$2:$H$623,6,FALSE),"")</f>
        <v/>
      </c>
    </row>
    <row r="190">
      <c r="A190" s="6">
        <f>IFERROR(VLOOKUP($B190,Company_Cat!$B$2:$E$623,2,FALSE),"")</f>
        <v/>
      </c>
      <c r="B190" s="4" t="n"/>
      <c r="C190" s="6">
        <f>IFERROR(VLOOKUP($B190,Company_Cat!$B$2:$H$623,6,FALSE),"")</f>
        <v/>
      </c>
    </row>
    <row r="191">
      <c r="A191" s="6">
        <f>IFERROR(VLOOKUP($B191,Company_Cat!$B$2:$E$623,2,FALSE),"")</f>
        <v/>
      </c>
      <c r="B191" s="4" t="n"/>
      <c r="C191" s="6">
        <f>IFERROR(VLOOKUP($B191,Company_Cat!$B$2:$H$623,6,FALSE),"")</f>
        <v/>
      </c>
    </row>
    <row r="192">
      <c r="A192" s="6">
        <f>IFERROR(VLOOKUP($B192,Company_Cat!$B$2:$E$623,2,FALSE),"")</f>
        <v/>
      </c>
      <c r="B192" s="4" t="n"/>
      <c r="C192" s="6">
        <f>IFERROR(VLOOKUP($B192,Company_Cat!$B$2:$H$623,6,FALSE),"")</f>
        <v/>
      </c>
    </row>
    <row r="193">
      <c r="A193" s="6">
        <f>IFERROR(VLOOKUP($B193,Company_Cat!$B$2:$E$623,2,FALSE),"")</f>
        <v/>
      </c>
      <c r="B193" s="4" t="n"/>
      <c r="C193" s="6">
        <f>IFERROR(VLOOKUP($B193,Company_Cat!$B$2:$H$623,6,FALSE),"")</f>
        <v/>
      </c>
    </row>
    <row r="194">
      <c r="A194" s="6">
        <f>IFERROR(VLOOKUP($B194,Company_Cat!$B$2:$E$623,2,FALSE),"")</f>
        <v/>
      </c>
      <c r="B194" s="4" t="n"/>
      <c r="C194" s="6">
        <f>IFERROR(VLOOKUP($B194,Company_Cat!$B$2:$H$623,6,FALSE),"")</f>
        <v/>
      </c>
    </row>
    <row r="195">
      <c r="A195" s="6">
        <f>IFERROR(VLOOKUP($B195,Company_Cat!$B$2:$E$623,2,FALSE),"")</f>
        <v/>
      </c>
      <c r="B195" s="4" t="n"/>
      <c r="C195" s="6">
        <f>IFERROR(VLOOKUP($B195,Company_Cat!$B$2:$H$623,6,FALSE),"")</f>
        <v/>
      </c>
    </row>
    <row r="196">
      <c r="A196" s="6">
        <f>IFERROR(VLOOKUP($B196,Company_Cat!$B$2:$E$623,2,FALSE),"")</f>
        <v/>
      </c>
      <c r="B196" s="4" t="n"/>
      <c r="C196" s="6">
        <f>IFERROR(VLOOKUP($B196,Company_Cat!$B$2:$H$623,6,FALSE),"")</f>
        <v/>
      </c>
    </row>
    <row r="197">
      <c r="A197" s="6">
        <f>IFERROR(VLOOKUP($B197,Company_Cat!$B$2:$E$623,2,FALSE),"")</f>
        <v/>
      </c>
      <c r="B197" s="4" t="n"/>
      <c r="C197" s="6">
        <f>IFERROR(VLOOKUP($B197,Company_Cat!$B$2:$H$623,6,FALSE),"")</f>
        <v/>
      </c>
    </row>
    <row r="198">
      <c r="A198" s="6">
        <f>IFERROR(VLOOKUP($B198,Company_Cat!$B$2:$E$623,2,FALSE),"")</f>
        <v/>
      </c>
      <c r="B198" s="4" t="n"/>
      <c r="C198" s="6">
        <f>IFERROR(VLOOKUP($B198,Company_Cat!$B$2:$H$623,6,FALSE),"")</f>
        <v/>
      </c>
    </row>
    <row r="199">
      <c r="A199" s="6">
        <f>IFERROR(VLOOKUP($B199,Company_Cat!$B$2:$E$623,2,FALSE),"")</f>
        <v/>
      </c>
      <c r="B199" s="4" t="n"/>
      <c r="C199" s="6">
        <f>IFERROR(VLOOKUP($B199,Company_Cat!$B$2:$H$623,6,FALSE),"")</f>
        <v/>
      </c>
    </row>
    <row r="200">
      <c r="A200" s="6">
        <f>IFERROR(VLOOKUP($B200,Company_Cat!$B$2:$E$623,2,FALSE),"")</f>
        <v/>
      </c>
      <c r="B200" s="4" t="n"/>
      <c r="C200" s="6">
        <f>IFERROR(VLOOKUP($B200,Company_Cat!$B$2:$H$623,6,FALSE),"")</f>
        <v/>
      </c>
    </row>
    <row r="201">
      <c r="A201" s="6">
        <f>IFERROR(VLOOKUP($B201,Company_Cat!$B$2:$E$623,2,FALSE),"")</f>
        <v/>
      </c>
      <c r="B201" s="4" t="n"/>
      <c r="C201" s="6">
        <f>IFERROR(VLOOKUP($B201,Company_Cat!$B$2:$H$623,6,FALSE),"")</f>
        <v/>
      </c>
    </row>
    <row r="202">
      <c r="A202" s="6">
        <f>IFERROR(VLOOKUP($B202,Company_Cat!$B$2:$E$623,2,FALSE),"")</f>
        <v/>
      </c>
      <c r="B202" s="4" t="n"/>
      <c r="C202" s="6">
        <f>IFERROR(VLOOKUP($B202,Company_Cat!$B$2:$H$623,6,FALSE),"")</f>
        <v/>
      </c>
    </row>
    <row r="203">
      <c r="A203" s="6">
        <f>IFERROR(VLOOKUP($B203,Company_Cat!$B$2:$E$623,2,FALSE),"")</f>
        <v/>
      </c>
      <c r="B203" s="4" t="n"/>
      <c r="C203" s="6">
        <f>IFERROR(VLOOKUP($B203,Company_Cat!$B$2:$H$623,6,FALSE),"")</f>
        <v/>
      </c>
    </row>
    <row r="204">
      <c r="A204" s="6">
        <f>IFERROR(VLOOKUP($B204,Company_Cat!$B$2:$E$623,2,FALSE),"")</f>
        <v/>
      </c>
      <c r="B204" s="4" t="n"/>
      <c r="C204" s="6">
        <f>IFERROR(VLOOKUP($B204,Company_Cat!$B$2:$H$623,6,FALSE),"")</f>
        <v/>
      </c>
    </row>
    <row r="205">
      <c r="A205" s="6">
        <f>IFERROR(VLOOKUP($B205,Company_Cat!$B$2:$E$623,2,FALSE),"")</f>
        <v/>
      </c>
      <c r="B205" s="4" t="n"/>
      <c r="C205" s="6">
        <f>IFERROR(VLOOKUP($B205,Company_Cat!$B$2:$H$623,6,FALSE),"")</f>
        <v/>
      </c>
    </row>
    <row r="206">
      <c r="A206" s="6">
        <f>IFERROR(VLOOKUP($B206,Company_Cat!$B$2:$E$623,2,FALSE),"")</f>
        <v/>
      </c>
      <c r="B206" s="4" t="n"/>
      <c r="C206" s="6">
        <f>IFERROR(VLOOKUP($B206,Company_Cat!$B$2:$H$623,6,FALSE),"")</f>
        <v/>
      </c>
    </row>
    <row r="207">
      <c r="A207" s="6">
        <f>IFERROR(VLOOKUP($B207,Company_Cat!$B$2:$E$623,2,FALSE),"")</f>
        <v/>
      </c>
      <c r="B207" s="4" t="n"/>
      <c r="C207" s="6">
        <f>IFERROR(VLOOKUP($B207,Company_Cat!$B$2:$H$623,6,FALSE),"")</f>
        <v/>
      </c>
    </row>
    <row r="208">
      <c r="A208" s="6">
        <f>IFERROR(VLOOKUP($B208,Company_Cat!$B$2:$E$623,2,FALSE),"")</f>
        <v/>
      </c>
      <c r="B208" s="4" t="n"/>
      <c r="C208" s="6">
        <f>IFERROR(VLOOKUP($B208,Company_Cat!$B$2:$H$623,6,FALSE),"")</f>
        <v/>
      </c>
    </row>
    <row r="209">
      <c r="A209" s="6">
        <f>IFERROR(VLOOKUP($B209,Company_Cat!$B$2:$E$623,2,FALSE),"")</f>
        <v/>
      </c>
      <c r="B209" s="4" t="n"/>
      <c r="C209" s="6">
        <f>IFERROR(VLOOKUP($B209,Company_Cat!$B$2:$H$623,6,FALSE),"")</f>
        <v/>
      </c>
    </row>
    <row r="210">
      <c r="A210" s="6">
        <f>IFERROR(VLOOKUP($B210,Company_Cat!$B$2:$E$623,2,FALSE),"")</f>
        <v/>
      </c>
      <c r="B210" s="4" t="n"/>
      <c r="C210" s="6">
        <f>IFERROR(VLOOKUP($B210,Company_Cat!$B$2:$H$623,6,FALSE),"")</f>
        <v/>
      </c>
    </row>
    <row r="211">
      <c r="A211" s="6">
        <f>IFERROR(VLOOKUP($B211,Company_Cat!$B$2:$E$623,2,FALSE),"")</f>
        <v/>
      </c>
      <c r="B211" s="4" t="n"/>
      <c r="C211" s="6">
        <f>IFERROR(VLOOKUP($B211,Company_Cat!$B$2:$H$623,6,FALSE),"")</f>
        <v/>
      </c>
    </row>
    <row r="212">
      <c r="A212" s="6">
        <f>IFERROR(VLOOKUP($B212,Company_Cat!$B$2:$E$623,2,FALSE),"")</f>
        <v/>
      </c>
      <c r="B212" s="4" t="n"/>
      <c r="C212" s="6">
        <f>IFERROR(VLOOKUP($B212,Company_Cat!$B$2:$H$623,6,FALSE),"")</f>
        <v/>
      </c>
    </row>
    <row r="213">
      <c r="A213" s="6">
        <f>IFERROR(VLOOKUP($B213,Company_Cat!$B$2:$E$623,2,FALSE),"")</f>
        <v/>
      </c>
      <c r="B213" s="4" t="n"/>
      <c r="C213" s="6">
        <f>IFERROR(VLOOKUP($B213,Company_Cat!$B$2:$H$623,6,FALSE),"")</f>
        <v/>
      </c>
    </row>
    <row r="214">
      <c r="A214" s="6">
        <f>IFERROR(VLOOKUP($B214,Company_Cat!$B$2:$E$623,2,FALSE),"")</f>
        <v/>
      </c>
      <c r="B214" s="4" t="n"/>
      <c r="C214" s="6">
        <f>IFERROR(VLOOKUP($B214,Company_Cat!$B$2:$H$623,6,FALSE),"")</f>
        <v/>
      </c>
    </row>
    <row r="215">
      <c r="A215" s="6">
        <f>IFERROR(VLOOKUP($B215,Company_Cat!$B$2:$E$623,2,FALSE),"")</f>
        <v/>
      </c>
      <c r="B215" s="4" t="n"/>
      <c r="C215" s="6">
        <f>IFERROR(VLOOKUP($B215,Company_Cat!$B$2:$H$623,6,FALSE),"")</f>
        <v/>
      </c>
    </row>
    <row r="216">
      <c r="A216" s="6">
        <f>IFERROR(VLOOKUP($B216,Company_Cat!$B$2:$E$623,2,FALSE),"")</f>
        <v/>
      </c>
      <c r="B216" s="4" t="n"/>
      <c r="C216" s="6">
        <f>IFERROR(VLOOKUP($B216,Company_Cat!$B$2:$H$623,6,FALSE),"")</f>
        <v/>
      </c>
    </row>
    <row r="217">
      <c r="A217" s="6">
        <f>IFERROR(VLOOKUP($B217,Company_Cat!$B$2:$E$623,2,FALSE),"")</f>
        <v/>
      </c>
      <c r="B217" s="4" t="n"/>
      <c r="C217" s="6">
        <f>IFERROR(VLOOKUP($B217,Company_Cat!$B$2:$H$623,6,FALSE),"")</f>
        <v/>
      </c>
    </row>
    <row r="218">
      <c r="A218" s="6">
        <f>IFERROR(VLOOKUP($B218,Company_Cat!$B$2:$E$623,2,FALSE),"")</f>
        <v/>
      </c>
      <c r="B218" s="4" t="n"/>
      <c r="C218" s="6">
        <f>IFERROR(VLOOKUP($B218,Company_Cat!$B$2:$H$623,6,FALSE),"")</f>
        <v/>
      </c>
    </row>
    <row r="219">
      <c r="A219" s="6">
        <f>IFERROR(VLOOKUP($B219,Company_Cat!$B$2:$E$623,2,FALSE),"")</f>
        <v/>
      </c>
      <c r="B219" s="4" t="n"/>
      <c r="C219" s="6">
        <f>IFERROR(VLOOKUP($B219,Company_Cat!$B$2:$H$623,6,FALSE),"")</f>
        <v/>
      </c>
    </row>
    <row r="220">
      <c r="A220" s="6">
        <f>IFERROR(VLOOKUP($B220,Company_Cat!$B$2:$E$623,2,FALSE),"")</f>
        <v/>
      </c>
      <c r="B220" s="4" t="n"/>
      <c r="C220" s="6">
        <f>IFERROR(VLOOKUP($B220,Company_Cat!$B$2:$H$623,6,FALSE),"")</f>
        <v/>
      </c>
    </row>
    <row r="221">
      <c r="A221" s="6">
        <f>IFERROR(VLOOKUP($B221,Company_Cat!$B$2:$E$623,2,FALSE),"")</f>
        <v/>
      </c>
      <c r="B221" s="4" t="n"/>
      <c r="C221" s="6">
        <f>IFERROR(VLOOKUP($B221,Company_Cat!$B$2:$H$623,6,FALSE),"")</f>
        <v/>
      </c>
    </row>
    <row r="222">
      <c r="A222" s="6">
        <f>IFERROR(VLOOKUP($B222,Company_Cat!$B$2:$E$623,2,FALSE),"")</f>
        <v/>
      </c>
      <c r="B222" s="4" t="n"/>
      <c r="C222" s="6">
        <f>IFERROR(VLOOKUP($B222,Company_Cat!$B$2:$H$623,6,FALSE),"")</f>
        <v/>
      </c>
    </row>
    <row r="223">
      <c r="A223" s="6">
        <f>IFERROR(VLOOKUP($B223,Company_Cat!$B$2:$E$623,2,FALSE),"")</f>
        <v/>
      </c>
      <c r="B223" s="4" t="n"/>
      <c r="C223" s="6">
        <f>IFERROR(VLOOKUP($B223,Company_Cat!$B$2:$H$623,6,FALSE),"")</f>
        <v/>
      </c>
    </row>
    <row r="224">
      <c r="A224" s="6">
        <f>IFERROR(VLOOKUP($B224,Company_Cat!$B$2:$E$623,2,FALSE),"")</f>
        <v/>
      </c>
      <c r="B224" s="4" t="n"/>
      <c r="C224" s="6">
        <f>IFERROR(VLOOKUP($B224,Company_Cat!$B$2:$H$623,6,FALSE),"")</f>
        <v/>
      </c>
    </row>
    <row r="225">
      <c r="A225" s="6">
        <f>IFERROR(VLOOKUP($B225,Company_Cat!$B$2:$E$623,2,FALSE),"")</f>
        <v/>
      </c>
      <c r="B225" s="4" t="n"/>
      <c r="C225" s="6">
        <f>IFERROR(VLOOKUP($B225,Company_Cat!$B$2:$H$623,6,FALSE),"")</f>
        <v/>
      </c>
    </row>
    <row r="226">
      <c r="A226" s="6">
        <f>IFERROR(VLOOKUP($B226,Company_Cat!$B$2:$E$623,2,FALSE),"")</f>
        <v/>
      </c>
      <c r="B226" s="4" t="n"/>
      <c r="C226" s="6">
        <f>IFERROR(VLOOKUP($B226,Company_Cat!$B$2:$H$623,6,FALSE),"")</f>
        <v/>
      </c>
    </row>
    <row r="227">
      <c r="A227" s="6">
        <f>IFERROR(VLOOKUP($B227,Company_Cat!$B$2:$E$623,2,FALSE),"")</f>
        <v/>
      </c>
      <c r="B227" s="4" t="n"/>
      <c r="C227" s="6">
        <f>IFERROR(VLOOKUP($B227,Company_Cat!$B$2:$H$623,6,FALSE),"")</f>
        <v/>
      </c>
    </row>
    <row r="228">
      <c r="A228" s="6">
        <f>IFERROR(VLOOKUP($B228,Company_Cat!$B$2:$E$623,2,FALSE),"")</f>
        <v/>
      </c>
      <c r="B228" s="4" t="n"/>
      <c r="C228" s="6">
        <f>IFERROR(VLOOKUP($B228,Company_Cat!$B$2:$H$623,6,FALSE),"")</f>
        <v/>
      </c>
    </row>
    <row r="229">
      <c r="A229" s="6">
        <f>IFERROR(VLOOKUP($B229,Company_Cat!$B$2:$E$623,2,FALSE),"")</f>
        <v/>
      </c>
      <c r="B229" s="4" t="n"/>
      <c r="C229" s="6">
        <f>IFERROR(VLOOKUP($B229,Company_Cat!$B$2:$H$623,6,FALSE),"")</f>
        <v/>
      </c>
    </row>
    <row r="230">
      <c r="A230" s="6">
        <f>IFERROR(VLOOKUP($B230,Company_Cat!$B$2:$E$623,2,FALSE),"")</f>
        <v/>
      </c>
      <c r="B230" s="4" t="n"/>
      <c r="C230" s="6">
        <f>IFERROR(VLOOKUP($B230,Company_Cat!$B$2:$H$623,6,FALSE),"")</f>
        <v/>
      </c>
    </row>
    <row r="231">
      <c r="A231" s="6">
        <f>IFERROR(VLOOKUP($B231,Company_Cat!$B$2:$E$623,2,FALSE),"")</f>
        <v/>
      </c>
      <c r="B231" s="4" t="n"/>
      <c r="C231" s="6">
        <f>IFERROR(VLOOKUP($B231,Company_Cat!$B$2:$H$623,6,FALSE),"")</f>
        <v/>
      </c>
    </row>
    <row r="232">
      <c r="A232" s="6">
        <f>IFERROR(VLOOKUP($B232,Company_Cat!$B$2:$E$623,2,FALSE),"")</f>
        <v/>
      </c>
      <c r="B232" s="4" t="n"/>
      <c r="C232" s="6">
        <f>IFERROR(VLOOKUP($B232,Company_Cat!$B$2:$H$623,6,FALSE),"")</f>
        <v/>
      </c>
    </row>
    <row r="233">
      <c r="A233" s="6">
        <f>IFERROR(VLOOKUP($B233,Company_Cat!$B$2:$E$623,2,FALSE),"")</f>
        <v/>
      </c>
      <c r="B233" s="4" t="n"/>
      <c r="C233" s="6">
        <f>IFERROR(VLOOKUP($B233,Company_Cat!$B$2:$H$623,6,FALSE),"")</f>
        <v/>
      </c>
    </row>
    <row r="234">
      <c r="A234" s="6">
        <f>IFERROR(VLOOKUP($B234,Company_Cat!$B$2:$E$623,2,FALSE),"")</f>
        <v/>
      </c>
      <c r="B234" s="4" t="n"/>
      <c r="C234" s="6">
        <f>IFERROR(VLOOKUP($B234,Company_Cat!$B$2:$H$623,6,FALSE),"")</f>
        <v/>
      </c>
    </row>
    <row r="235">
      <c r="A235" s="6">
        <f>IFERROR(VLOOKUP($B235,Company_Cat!$B$2:$E$623,2,FALSE),"")</f>
        <v/>
      </c>
      <c r="B235" s="4" t="n"/>
      <c r="C235" s="6">
        <f>IFERROR(VLOOKUP($B235,Company_Cat!$B$2:$H$623,6,FALSE),"")</f>
        <v/>
      </c>
    </row>
    <row r="236">
      <c r="A236" s="6">
        <f>IFERROR(VLOOKUP($B236,Company_Cat!$B$2:$E$623,2,FALSE),"")</f>
        <v/>
      </c>
      <c r="B236" s="4" t="n"/>
      <c r="C236" s="6">
        <f>IFERROR(VLOOKUP($B236,Company_Cat!$B$2:$H$623,6,FALSE),"")</f>
        <v/>
      </c>
    </row>
    <row r="237">
      <c r="A237" s="6">
        <f>IFERROR(VLOOKUP($B237,Company_Cat!$B$2:$E$623,2,FALSE),"")</f>
        <v/>
      </c>
      <c r="B237" s="4" t="n"/>
      <c r="C237" s="6">
        <f>IFERROR(VLOOKUP($B237,Company_Cat!$B$2:$H$623,6,FALSE),"")</f>
        <v/>
      </c>
    </row>
    <row r="238">
      <c r="A238" s="6">
        <f>IFERROR(VLOOKUP($B238,Company_Cat!$B$2:$E$623,2,FALSE),"")</f>
        <v/>
      </c>
      <c r="B238" s="4" t="n"/>
      <c r="C238" s="6">
        <f>IFERROR(VLOOKUP($B238,Company_Cat!$B$2:$H$623,6,FALSE),"")</f>
        <v/>
      </c>
    </row>
    <row r="239">
      <c r="A239" s="6">
        <f>IFERROR(VLOOKUP($B239,Company_Cat!$B$2:$E$623,2,FALSE),"")</f>
        <v/>
      </c>
      <c r="B239" s="4" t="n"/>
      <c r="C239" s="6">
        <f>IFERROR(VLOOKUP($B239,Company_Cat!$B$2:$H$623,6,FALSE),"")</f>
        <v/>
      </c>
    </row>
    <row r="240">
      <c r="A240" s="6">
        <f>IFERROR(VLOOKUP($B240,Company_Cat!$B$2:$E$623,2,FALSE),"")</f>
        <v/>
      </c>
      <c r="B240" s="4" t="n"/>
      <c r="C240" s="6">
        <f>IFERROR(VLOOKUP($B240,Company_Cat!$B$2:$H$623,6,FALSE),"")</f>
        <v/>
      </c>
    </row>
    <row r="241">
      <c r="A241" s="6">
        <f>IFERROR(VLOOKUP($B241,Company_Cat!$B$2:$E$623,2,FALSE),"")</f>
        <v/>
      </c>
      <c r="B241" s="4" t="n"/>
      <c r="C241" s="6">
        <f>IFERROR(VLOOKUP($B241,Company_Cat!$B$2:$H$623,6,FALSE),"")</f>
        <v/>
      </c>
    </row>
    <row r="242">
      <c r="A242" s="6">
        <f>IFERROR(VLOOKUP($B242,Company_Cat!$B$2:$E$623,2,FALSE),"")</f>
        <v/>
      </c>
      <c r="B242" s="4" t="n"/>
      <c r="C242" s="6">
        <f>IFERROR(VLOOKUP($B242,Company_Cat!$B$2:$H$623,6,FALSE),"")</f>
        <v/>
      </c>
    </row>
    <row r="243">
      <c r="A243" s="6">
        <f>IFERROR(VLOOKUP($B243,Company_Cat!$B$2:$E$623,2,FALSE),"")</f>
        <v/>
      </c>
      <c r="B243" s="4" t="n"/>
      <c r="C243" s="6">
        <f>IFERROR(VLOOKUP($B243,Company_Cat!$B$2:$H$623,6,FALSE),"")</f>
        <v/>
      </c>
    </row>
    <row r="244">
      <c r="A244" s="6">
        <f>IFERROR(VLOOKUP($B244,Company_Cat!$B$2:$E$623,2,FALSE),"")</f>
        <v/>
      </c>
      <c r="B244" s="4" t="n"/>
      <c r="C244" s="6">
        <f>IFERROR(VLOOKUP($B244,Company_Cat!$B$2:$H$623,6,FALSE),"")</f>
        <v/>
      </c>
    </row>
    <row r="245">
      <c r="A245" s="6">
        <f>IFERROR(VLOOKUP($B245,Company_Cat!$B$2:$E$623,2,FALSE),"")</f>
        <v/>
      </c>
      <c r="B245" s="4" t="n"/>
      <c r="C245" s="6">
        <f>IFERROR(VLOOKUP($B245,Company_Cat!$B$2:$H$623,6,FALSE),"")</f>
        <v/>
      </c>
    </row>
    <row r="246">
      <c r="A246" s="6">
        <f>IFERROR(VLOOKUP($B246,Company_Cat!$B$2:$E$623,2,FALSE),"")</f>
        <v/>
      </c>
      <c r="B246" s="4" t="n"/>
      <c r="C246" s="6">
        <f>IFERROR(VLOOKUP($B246,Company_Cat!$B$2:$H$623,6,FALSE),"")</f>
        <v/>
      </c>
    </row>
    <row r="247">
      <c r="A247" s="6">
        <f>IFERROR(VLOOKUP($B247,Company_Cat!$B$2:$E$623,2,FALSE),"")</f>
        <v/>
      </c>
      <c r="B247" s="4" t="n"/>
      <c r="C247" s="6">
        <f>IFERROR(VLOOKUP($B247,Company_Cat!$B$2:$H$623,6,FALSE),"")</f>
        <v/>
      </c>
    </row>
    <row r="248">
      <c r="A248" s="6">
        <f>IFERROR(VLOOKUP($B248,Company_Cat!$B$2:$E$623,2,FALSE),"")</f>
        <v/>
      </c>
      <c r="B248" s="4" t="n"/>
      <c r="C248" s="6">
        <f>IFERROR(VLOOKUP($B248,Company_Cat!$B$2:$H$623,6,FALSE),"")</f>
        <v/>
      </c>
    </row>
    <row r="249">
      <c r="A249" s="6">
        <f>IFERROR(VLOOKUP($B249,Company_Cat!$B$2:$E$623,2,FALSE),"")</f>
        <v/>
      </c>
      <c r="B249" s="4" t="n"/>
      <c r="C249" s="6">
        <f>IFERROR(VLOOKUP($B249,Company_Cat!$B$2:$H$623,6,FALSE),"")</f>
        <v/>
      </c>
    </row>
    <row r="250">
      <c r="A250" s="6">
        <f>IFERROR(VLOOKUP($B250,Company_Cat!$B$2:$E$623,2,FALSE),"")</f>
        <v/>
      </c>
      <c r="B250" s="4" t="n"/>
      <c r="C250" s="6">
        <f>IFERROR(VLOOKUP($B250,Company_Cat!$B$2:$H$623,6,FALSE),"")</f>
        <v/>
      </c>
    </row>
    <row r="251">
      <c r="A251" s="6">
        <f>IFERROR(VLOOKUP($B251,Company_Cat!$B$2:$E$623,2,FALSE),"")</f>
        <v/>
      </c>
      <c r="B251" s="4" t="n"/>
      <c r="C251" s="6">
        <f>IFERROR(VLOOKUP($B251,Company_Cat!$B$2:$H$623,6,FALSE),"")</f>
        <v/>
      </c>
    </row>
    <row r="252">
      <c r="A252" s="6">
        <f>IFERROR(VLOOKUP($B252,Company_Cat!$B$2:$E$623,2,FALSE),"")</f>
        <v/>
      </c>
      <c r="B252" s="4" t="n"/>
      <c r="C252" s="6">
        <f>IFERROR(VLOOKUP($B252,Company_Cat!$B$2:$H$623,6,FALSE),"")</f>
        <v/>
      </c>
    </row>
    <row r="253">
      <c r="A253" s="6">
        <f>IFERROR(VLOOKUP($B253,Company_Cat!$B$2:$E$623,2,FALSE),"")</f>
        <v/>
      </c>
      <c r="B253" s="4" t="n"/>
      <c r="C253" s="6">
        <f>IFERROR(VLOOKUP($B253,Company_Cat!$B$2:$H$623,6,FALSE),"")</f>
        <v/>
      </c>
    </row>
    <row r="254">
      <c r="A254" s="6">
        <f>IFERROR(VLOOKUP($B254,Company_Cat!$B$2:$E$623,2,FALSE),"")</f>
        <v/>
      </c>
      <c r="B254" s="4" t="n"/>
      <c r="C254" s="6">
        <f>IFERROR(VLOOKUP($B254,Company_Cat!$B$2:$H$623,6,FALSE),"")</f>
        <v/>
      </c>
    </row>
    <row r="255">
      <c r="A255" s="6">
        <f>IFERROR(VLOOKUP($B255,Company_Cat!$B$2:$E$623,2,FALSE),"")</f>
        <v/>
      </c>
      <c r="B255" s="4" t="n"/>
      <c r="C255" s="6">
        <f>IFERROR(VLOOKUP($B255,Company_Cat!$B$2:$H$623,6,FALSE),"")</f>
        <v/>
      </c>
    </row>
    <row r="256">
      <c r="A256" s="6">
        <f>IFERROR(VLOOKUP($B256,Company_Cat!$B$2:$E$623,2,FALSE),"")</f>
        <v/>
      </c>
      <c r="B256" s="4" t="n"/>
      <c r="C256" s="6">
        <f>IFERROR(VLOOKUP($B256,Company_Cat!$B$2:$H$623,6,FALSE),"")</f>
        <v/>
      </c>
    </row>
    <row r="257">
      <c r="A257" s="6">
        <f>IFERROR(VLOOKUP($B257,Company_Cat!$B$2:$E$623,2,FALSE),"")</f>
        <v/>
      </c>
      <c r="B257" s="4" t="n"/>
      <c r="C257" s="6">
        <f>IFERROR(VLOOKUP($B257,Company_Cat!$B$2:$H$623,6,FALSE),"")</f>
        <v/>
      </c>
    </row>
    <row r="258">
      <c r="A258" s="6">
        <f>IFERROR(VLOOKUP($B258,Company_Cat!$B$2:$E$623,2,FALSE),"")</f>
        <v/>
      </c>
      <c r="B258" s="4" t="n"/>
      <c r="C258" s="6">
        <f>IFERROR(VLOOKUP($B258,Company_Cat!$B$2:$H$623,6,FALSE),"")</f>
        <v/>
      </c>
    </row>
    <row r="259">
      <c r="A259" s="6">
        <f>IFERROR(VLOOKUP($B259,Company_Cat!$B$2:$E$623,2,FALSE),"")</f>
        <v/>
      </c>
      <c r="B259" s="4" t="n"/>
      <c r="C259" s="6">
        <f>IFERROR(VLOOKUP($B259,Company_Cat!$B$2:$H$623,6,FALSE),"")</f>
        <v/>
      </c>
    </row>
    <row r="260">
      <c r="A260" s="6">
        <f>IFERROR(VLOOKUP($B260,Company_Cat!$B$2:$E$623,2,FALSE),"")</f>
        <v/>
      </c>
      <c r="B260" s="4" t="n"/>
      <c r="C260" s="6">
        <f>IFERROR(VLOOKUP($B260,Company_Cat!$B$2:$H$623,6,FALSE),"")</f>
        <v/>
      </c>
    </row>
    <row r="261">
      <c r="A261" s="6">
        <f>IFERROR(VLOOKUP($B261,Company_Cat!$B$2:$E$623,2,FALSE),"")</f>
        <v/>
      </c>
      <c r="B261" s="4" t="n"/>
      <c r="C261" s="6">
        <f>IFERROR(VLOOKUP($B261,Company_Cat!$B$2:$H$623,6,FALSE),"")</f>
        <v/>
      </c>
    </row>
    <row r="262">
      <c r="A262" s="6">
        <f>IFERROR(VLOOKUP($B262,Company_Cat!$B$2:$E$623,2,FALSE),"")</f>
        <v/>
      </c>
      <c r="B262" s="4" t="n"/>
      <c r="C262" s="6">
        <f>IFERROR(VLOOKUP($B262,Company_Cat!$B$2:$H$623,6,FALSE),"")</f>
        <v/>
      </c>
    </row>
    <row r="263">
      <c r="A263" s="6">
        <f>IFERROR(VLOOKUP($B263,Company_Cat!$B$2:$E$623,2,FALSE),"")</f>
        <v/>
      </c>
      <c r="B263" s="4" t="n"/>
      <c r="C263" s="6">
        <f>IFERROR(VLOOKUP($B263,Company_Cat!$B$2:$H$623,6,FALSE),"")</f>
        <v/>
      </c>
    </row>
    <row r="264">
      <c r="A264" s="6">
        <f>IFERROR(VLOOKUP($B264,Company_Cat!$B$2:$E$623,2,FALSE),"")</f>
        <v/>
      </c>
      <c r="B264" s="4" t="n"/>
      <c r="C264" s="6">
        <f>IFERROR(VLOOKUP($B264,Company_Cat!$B$2:$H$623,6,FALSE),"")</f>
        <v/>
      </c>
    </row>
    <row r="265">
      <c r="A265" s="6">
        <f>IFERROR(VLOOKUP($B265,Company_Cat!$B$2:$E$623,2,FALSE),"")</f>
        <v/>
      </c>
      <c r="B265" s="4" t="n"/>
      <c r="C265" s="6">
        <f>IFERROR(VLOOKUP($B265,Company_Cat!$B$2:$H$623,6,FALSE),"")</f>
        <v/>
      </c>
    </row>
    <row r="266">
      <c r="A266" s="6">
        <f>IFERROR(VLOOKUP($B266,Company_Cat!$B$2:$E$623,2,FALSE),"")</f>
        <v/>
      </c>
      <c r="B266" s="4" t="n"/>
      <c r="C266" s="6">
        <f>IFERROR(VLOOKUP($B266,Company_Cat!$B$2:$H$623,6,FALSE),"")</f>
        <v/>
      </c>
    </row>
    <row r="267">
      <c r="A267" s="6">
        <f>IFERROR(VLOOKUP($B267,Company_Cat!$B$2:$E$623,2,FALSE),"")</f>
        <v/>
      </c>
      <c r="B267" s="4" t="n"/>
      <c r="C267" s="6">
        <f>IFERROR(VLOOKUP($B267,Company_Cat!$B$2:$H$623,6,FALSE),"")</f>
        <v/>
      </c>
    </row>
    <row r="268">
      <c r="A268" s="6">
        <f>IFERROR(VLOOKUP($B268,Company_Cat!$B$2:$E$623,2,FALSE),"")</f>
        <v/>
      </c>
      <c r="B268" s="4" t="n"/>
      <c r="C268" s="6">
        <f>IFERROR(VLOOKUP($B268,Company_Cat!$B$2:$H$623,6,FALSE),"")</f>
        <v/>
      </c>
    </row>
    <row r="269">
      <c r="A269" s="6">
        <f>IFERROR(VLOOKUP($B269,Company_Cat!$B$2:$E$623,2,FALSE),"")</f>
        <v/>
      </c>
      <c r="B269" s="4" t="n"/>
      <c r="C269" s="6">
        <f>IFERROR(VLOOKUP($B269,Company_Cat!$B$2:$H$623,6,FALSE),"")</f>
        <v/>
      </c>
    </row>
    <row r="270">
      <c r="A270" s="6">
        <f>IFERROR(VLOOKUP($B270,Company_Cat!$B$2:$E$623,2,FALSE),"")</f>
        <v/>
      </c>
      <c r="B270" s="4" t="n"/>
      <c r="C270" s="6">
        <f>IFERROR(VLOOKUP($B270,Company_Cat!$B$2:$H$623,6,FALSE),"")</f>
        <v/>
      </c>
    </row>
    <row r="271">
      <c r="A271" s="6">
        <f>IFERROR(VLOOKUP($B271,Company_Cat!$B$2:$E$623,2,FALSE),"")</f>
        <v/>
      </c>
      <c r="B271" s="4" t="n"/>
      <c r="C271" s="6">
        <f>IFERROR(VLOOKUP($B271,Company_Cat!$B$2:$H$623,6,FALSE),"")</f>
        <v/>
      </c>
    </row>
    <row r="272">
      <c r="A272" s="6">
        <f>IFERROR(VLOOKUP($B272,Company_Cat!$B$2:$E$623,2,FALSE),"")</f>
        <v/>
      </c>
      <c r="B272" s="4" t="n"/>
      <c r="C272" s="6">
        <f>IFERROR(VLOOKUP($B272,Company_Cat!$B$2:$H$623,6,FALSE),"")</f>
        <v/>
      </c>
    </row>
    <row r="273">
      <c r="A273" s="6">
        <f>IFERROR(VLOOKUP($B273,Company_Cat!$B$2:$E$623,2,FALSE),"")</f>
        <v/>
      </c>
      <c r="B273" s="4" t="n"/>
      <c r="C273" s="6">
        <f>IFERROR(VLOOKUP($B273,Company_Cat!$B$2:$H$623,6,FALSE),"")</f>
        <v/>
      </c>
    </row>
    <row r="274">
      <c r="A274" s="6">
        <f>IFERROR(VLOOKUP($B274,Company_Cat!$B$2:$E$623,2,FALSE),"")</f>
        <v/>
      </c>
      <c r="B274" s="4" t="n"/>
      <c r="C274" s="6">
        <f>IFERROR(VLOOKUP($B274,Company_Cat!$B$2:$H$623,6,FALSE),"")</f>
        <v/>
      </c>
    </row>
    <row r="275">
      <c r="A275" s="6">
        <f>IFERROR(VLOOKUP($B275,Company_Cat!$B$2:$E$623,2,FALSE),"")</f>
        <v/>
      </c>
      <c r="B275" s="4" t="n"/>
      <c r="C275" s="6">
        <f>IFERROR(VLOOKUP($B275,Company_Cat!$B$2:$H$623,6,FALSE),"")</f>
        <v/>
      </c>
    </row>
    <row r="276">
      <c r="A276" s="6">
        <f>IFERROR(VLOOKUP($B276,Company_Cat!$B$2:$E$623,2,FALSE),"")</f>
        <v/>
      </c>
      <c r="B276" s="4" t="n"/>
      <c r="C276" s="6">
        <f>IFERROR(VLOOKUP($B276,Company_Cat!$B$2:$H$623,6,FALSE),"")</f>
        <v/>
      </c>
    </row>
    <row r="277">
      <c r="A277" s="6">
        <f>IFERROR(VLOOKUP($B277,Company_Cat!$B$2:$E$623,2,FALSE),"")</f>
        <v/>
      </c>
      <c r="B277" s="4" t="n"/>
      <c r="C277" s="6">
        <f>IFERROR(VLOOKUP($B277,Company_Cat!$B$2:$H$623,6,FALSE),"")</f>
        <v/>
      </c>
    </row>
    <row r="278">
      <c r="A278" s="6">
        <f>IFERROR(VLOOKUP($B278,Company_Cat!$B$2:$E$623,2,FALSE),"")</f>
        <v/>
      </c>
      <c r="B278" s="4" t="n"/>
      <c r="C278" s="6">
        <f>IFERROR(VLOOKUP($B278,Company_Cat!$B$2:$H$623,6,FALSE),"")</f>
        <v/>
      </c>
    </row>
    <row r="279">
      <c r="A279" s="6">
        <f>IFERROR(VLOOKUP($B279,Company_Cat!$B$2:$E$623,2,FALSE),"")</f>
        <v/>
      </c>
      <c r="B279" s="4" t="n"/>
      <c r="C279" s="6">
        <f>IFERROR(VLOOKUP($B279,Company_Cat!$B$2:$H$623,6,FALSE),"")</f>
        <v/>
      </c>
    </row>
    <row r="280">
      <c r="A280" s="6">
        <f>IFERROR(VLOOKUP($B280,Company_Cat!$B$2:$E$623,2,FALSE),"")</f>
        <v/>
      </c>
      <c r="B280" s="4" t="n"/>
      <c r="C280" s="6">
        <f>IFERROR(VLOOKUP($B280,Company_Cat!$B$2:$H$623,6,FALSE),"")</f>
        <v/>
      </c>
    </row>
    <row r="281">
      <c r="A281" s="6">
        <f>IFERROR(VLOOKUP($B281,Company_Cat!$B$2:$E$623,2,FALSE),"")</f>
        <v/>
      </c>
      <c r="B281" s="4" t="n"/>
      <c r="C281" s="6">
        <f>IFERROR(VLOOKUP($B281,Company_Cat!$B$2:$H$623,6,FALSE),"")</f>
        <v/>
      </c>
    </row>
    <row r="282">
      <c r="A282" s="6">
        <f>IFERROR(VLOOKUP($B282,Company_Cat!$B$2:$E$623,2,FALSE),"")</f>
        <v/>
      </c>
      <c r="B282" s="4" t="n"/>
      <c r="C282" s="6">
        <f>IFERROR(VLOOKUP($B282,Company_Cat!$B$2:$H$623,6,FALSE),"")</f>
        <v/>
      </c>
    </row>
    <row r="283">
      <c r="A283" s="6">
        <f>IFERROR(VLOOKUP($B283,Company_Cat!$B$2:$E$623,2,FALSE),"")</f>
        <v/>
      </c>
      <c r="B283" s="4" t="n"/>
      <c r="C283" s="6">
        <f>IFERROR(VLOOKUP($B283,Company_Cat!$B$2:$H$623,6,FALSE),"")</f>
        <v/>
      </c>
    </row>
    <row r="284">
      <c r="A284" s="6">
        <f>IFERROR(VLOOKUP($B284,Company_Cat!$B$2:$E$623,2,FALSE),"")</f>
        <v/>
      </c>
      <c r="B284" s="4" t="n"/>
      <c r="C284" s="6">
        <f>IFERROR(VLOOKUP($B284,Company_Cat!$B$2:$H$623,6,FALSE),"")</f>
        <v/>
      </c>
    </row>
    <row r="285">
      <c r="A285" s="6">
        <f>IFERROR(VLOOKUP($B285,Company_Cat!$B$2:$E$623,2,FALSE),"")</f>
        <v/>
      </c>
      <c r="B285" s="4" t="n"/>
      <c r="C285" s="6">
        <f>IFERROR(VLOOKUP($B285,Company_Cat!$B$2:$H$623,6,FALSE),"")</f>
        <v/>
      </c>
    </row>
    <row r="286">
      <c r="A286" s="6">
        <f>IFERROR(VLOOKUP($B286,Company_Cat!$B$2:$E$623,2,FALSE),"")</f>
        <v/>
      </c>
      <c r="B286" s="4" t="n"/>
      <c r="C286" s="6">
        <f>IFERROR(VLOOKUP($B286,Company_Cat!$B$2:$H$623,6,FALSE),"")</f>
        <v/>
      </c>
    </row>
    <row r="287">
      <c r="A287" s="6">
        <f>IFERROR(VLOOKUP($B287,Company_Cat!$B$2:$E$623,2,FALSE),"")</f>
        <v/>
      </c>
      <c r="B287" s="4" t="n"/>
      <c r="C287" s="6">
        <f>IFERROR(VLOOKUP($B287,Company_Cat!$B$2:$H$623,6,FALSE),"")</f>
        <v/>
      </c>
    </row>
    <row r="288">
      <c r="A288" s="6">
        <f>IFERROR(VLOOKUP($B288,Company_Cat!$B$2:$E$623,2,FALSE),"")</f>
        <v/>
      </c>
      <c r="B288" s="4" t="n"/>
      <c r="C288" s="6">
        <f>IFERROR(VLOOKUP($B288,Company_Cat!$B$2:$H$623,6,FALSE),"")</f>
        <v/>
      </c>
    </row>
    <row r="289">
      <c r="A289" s="6">
        <f>IFERROR(VLOOKUP($B289,Company_Cat!$B$2:$E$623,2,FALSE),"")</f>
        <v/>
      </c>
      <c r="B289" s="4" t="n"/>
      <c r="C289" s="6">
        <f>IFERROR(VLOOKUP($B289,Company_Cat!$B$2:$H$623,6,FALSE),"")</f>
        <v/>
      </c>
    </row>
    <row r="290">
      <c r="A290" s="6">
        <f>IFERROR(VLOOKUP($B290,Company_Cat!$B$2:$E$623,2,FALSE),"")</f>
        <v/>
      </c>
      <c r="B290" s="4" t="n"/>
      <c r="C290" s="6">
        <f>IFERROR(VLOOKUP($B290,Company_Cat!$B$2:$H$623,6,FALSE),"")</f>
        <v/>
      </c>
    </row>
    <row r="291">
      <c r="A291" s="6">
        <f>IFERROR(VLOOKUP($B291,Company_Cat!$B$2:$E$623,2,FALSE),"")</f>
        <v/>
      </c>
      <c r="B291" s="4" t="n"/>
      <c r="C291" s="6">
        <f>IFERROR(VLOOKUP($B291,Company_Cat!$B$2:$H$623,6,FALSE),"")</f>
        <v/>
      </c>
    </row>
    <row r="292">
      <c r="A292" s="6">
        <f>IFERROR(VLOOKUP($B292,Company_Cat!$B$2:$E$623,2,FALSE),"")</f>
        <v/>
      </c>
      <c r="B292" s="4" t="n"/>
      <c r="C292" s="6">
        <f>IFERROR(VLOOKUP($B292,Company_Cat!$B$2:$H$623,6,FALSE),"")</f>
        <v/>
      </c>
    </row>
    <row r="293">
      <c r="A293" s="6">
        <f>IFERROR(VLOOKUP($B293,Company_Cat!$B$2:$E$623,2,FALSE),"")</f>
        <v/>
      </c>
      <c r="B293" s="4" t="n"/>
      <c r="C293" s="6">
        <f>IFERROR(VLOOKUP($B293,Company_Cat!$B$2:$H$623,6,FALSE),"")</f>
        <v/>
      </c>
    </row>
    <row r="294">
      <c r="A294" s="6">
        <f>IFERROR(VLOOKUP($B294,Company_Cat!$B$2:$E$623,2,FALSE),"")</f>
        <v/>
      </c>
      <c r="B294" s="4" t="n"/>
      <c r="C294" s="6">
        <f>IFERROR(VLOOKUP($B294,Company_Cat!$B$2:$H$623,6,FALSE),"")</f>
        <v/>
      </c>
    </row>
    <row r="295">
      <c r="A295" s="6">
        <f>IFERROR(VLOOKUP($B295,Company_Cat!$B$2:$E$623,2,FALSE),"")</f>
        <v/>
      </c>
      <c r="B295" s="4" t="n"/>
      <c r="C295" s="6">
        <f>IFERROR(VLOOKUP($B295,Company_Cat!$B$2:$H$623,6,FALSE),"")</f>
        <v/>
      </c>
    </row>
    <row r="296">
      <c r="A296" s="6">
        <f>IFERROR(VLOOKUP($B296,Company_Cat!$B$2:$E$623,2,FALSE),"")</f>
        <v/>
      </c>
      <c r="B296" s="4" t="n"/>
      <c r="C296" s="6">
        <f>IFERROR(VLOOKUP($B296,Company_Cat!$B$2:$H$623,6,FALSE),"")</f>
        <v/>
      </c>
    </row>
    <row r="297">
      <c r="A297" s="6">
        <f>IFERROR(VLOOKUP($B297,Company_Cat!$B$2:$E$623,2,FALSE),"")</f>
        <v/>
      </c>
      <c r="B297" s="4" t="n"/>
      <c r="C297" s="6">
        <f>IFERROR(VLOOKUP($B297,Company_Cat!$B$2:$H$623,6,FALSE),"")</f>
        <v/>
      </c>
    </row>
    <row r="298">
      <c r="A298" s="6">
        <f>IFERROR(VLOOKUP($B298,Company_Cat!$B$2:$E$623,2,FALSE),"")</f>
        <v/>
      </c>
      <c r="B298" s="4" t="n"/>
      <c r="C298" s="6">
        <f>IFERROR(VLOOKUP($B298,Company_Cat!$B$2:$H$623,6,FALSE),"")</f>
        <v/>
      </c>
    </row>
    <row r="299">
      <c r="A299" s="6">
        <f>IFERROR(VLOOKUP($B299,Company_Cat!$B$2:$E$623,2,FALSE),"")</f>
        <v/>
      </c>
      <c r="B299" s="4" t="n"/>
      <c r="C299" s="6">
        <f>IFERROR(VLOOKUP($B299,Company_Cat!$B$2:$H$623,6,FALSE),"")</f>
        <v/>
      </c>
    </row>
    <row r="300">
      <c r="A300" s="6">
        <f>IFERROR(VLOOKUP($B300,Company_Cat!$B$2:$E$623,2,FALSE),"")</f>
        <v/>
      </c>
      <c r="B300" s="4" t="n"/>
      <c r="C300" s="6">
        <f>IFERROR(VLOOKUP($B300,Company_Cat!$B$2:$H$623,6,FALSE),"")</f>
        <v/>
      </c>
    </row>
    <row r="301">
      <c r="A301" s="6">
        <f>IFERROR(VLOOKUP($B301,Company_Cat!$B$2:$E$623,2,FALSE),"")</f>
        <v/>
      </c>
      <c r="B301" s="4" t="n"/>
      <c r="C301" s="6">
        <f>IFERROR(VLOOKUP($B301,Company_Cat!$B$2:$H$623,6,FALSE),"")</f>
        <v/>
      </c>
    </row>
    <row r="302">
      <c r="A302" s="6">
        <f>IFERROR(VLOOKUP($B302,Company_Cat!$B$2:$E$623,2,FALSE),"")</f>
        <v/>
      </c>
      <c r="B302" s="4" t="n"/>
      <c r="C302" s="6">
        <f>IFERROR(VLOOKUP($B302,Company_Cat!$B$2:$H$623,6,FALSE),"")</f>
        <v/>
      </c>
    </row>
    <row r="303">
      <c r="A303" s="6">
        <f>IFERROR(VLOOKUP($B303,Company_Cat!$B$2:$E$623,2,FALSE),"")</f>
        <v/>
      </c>
      <c r="B303" s="4" t="n"/>
      <c r="C303" s="6">
        <f>IFERROR(VLOOKUP($B303,Company_Cat!$B$2:$H$623,6,FALSE),"")</f>
        <v/>
      </c>
    </row>
    <row r="304">
      <c r="A304" s="6">
        <f>IFERROR(VLOOKUP($B304,Company_Cat!$B$2:$E$623,2,FALSE),"")</f>
        <v/>
      </c>
      <c r="B304" s="4" t="n"/>
      <c r="C304" s="6">
        <f>IFERROR(VLOOKUP($B304,Company_Cat!$B$2:$H$623,6,FALSE),"")</f>
        <v/>
      </c>
    </row>
    <row r="305">
      <c r="A305" s="6">
        <f>IFERROR(VLOOKUP($B305,Company_Cat!$B$2:$E$623,2,FALSE),"")</f>
        <v/>
      </c>
      <c r="B305" s="4" t="n"/>
      <c r="C305" s="6">
        <f>IFERROR(VLOOKUP($B305,Company_Cat!$B$2:$H$623,6,FALSE),"")</f>
        <v/>
      </c>
    </row>
    <row r="306">
      <c r="A306" s="6">
        <f>IFERROR(VLOOKUP($B306,Company_Cat!$B$2:$E$623,2,FALSE),"")</f>
        <v/>
      </c>
      <c r="B306" s="4" t="n"/>
      <c r="C306" s="6">
        <f>IFERROR(VLOOKUP($B306,Company_Cat!$B$2:$H$623,6,FALSE),"")</f>
        <v/>
      </c>
    </row>
    <row r="307">
      <c r="A307" s="6">
        <f>IFERROR(VLOOKUP($B307,Company_Cat!$B$2:$E$623,2,FALSE),"")</f>
        <v/>
      </c>
      <c r="B307" s="4" t="n"/>
      <c r="C307" s="6">
        <f>IFERROR(VLOOKUP($B307,Company_Cat!$B$2:$H$623,6,FALSE),"")</f>
        <v/>
      </c>
    </row>
    <row r="308">
      <c r="A308" s="6">
        <f>IFERROR(VLOOKUP($B308,Company_Cat!$B$2:$E$623,2,FALSE),"")</f>
        <v/>
      </c>
      <c r="B308" s="4" t="n"/>
      <c r="C308" s="6">
        <f>IFERROR(VLOOKUP($B308,Company_Cat!$B$2:$H$623,6,FALSE),"")</f>
        <v/>
      </c>
    </row>
    <row r="309">
      <c r="A309" s="6">
        <f>IFERROR(VLOOKUP($B309,Company_Cat!$B$2:$E$623,2,FALSE),"")</f>
        <v/>
      </c>
      <c r="B309" s="4" t="n"/>
      <c r="C309" s="6">
        <f>IFERROR(VLOOKUP($B309,Company_Cat!$B$2:$H$623,6,FALSE),"")</f>
        <v/>
      </c>
    </row>
    <row r="310">
      <c r="A310" s="6">
        <f>IFERROR(VLOOKUP($B310,Company_Cat!$B$2:$E$623,2,FALSE),"")</f>
        <v/>
      </c>
      <c r="B310" s="4" t="n"/>
      <c r="C310" s="6">
        <f>IFERROR(VLOOKUP($B310,Company_Cat!$B$2:$H$623,6,FALSE),"")</f>
        <v/>
      </c>
    </row>
    <row r="311">
      <c r="A311" s="6">
        <f>IFERROR(VLOOKUP($B311,Company_Cat!$B$2:$E$623,2,FALSE),"")</f>
        <v/>
      </c>
      <c r="B311" s="4" t="n"/>
      <c r="C311" s="6">
        <f>IFERROR(VLOOKUP($B311,Company_Cat!$B$2:$H$623,6,FALSE),"")</f>
        <v/>
      </c>
    </row>
    <row r="312">
      <c r="A312" s="6">
        <f>IFERROR(VLOOKUP($B312,Company_Cat!$B$2:$E$623,2,FALSE),"")</f>
        <v/>
      </c>
      <c r="B312" s="4" t="n"/>
      <c r="C312" s="6">
        <f>IFERROR(VLOOKUP($B312,Company_Cat!$B$2:$H$623,6,FALSE),"")</f>
        <v/>
      </c>
    </row>
    <row r="313">
      <c r="A313" s="6">
        <f>IFERROR(VLOOKUP($B313,Company_Cat!$B$2:$E$623,2,FALSE),"")</f>
        <v/>
      </c>
      <c r="B313" s="4" t="n"/>
      <c r="C313" s="6">
        <f>IFERROR(VLOOKUP($B313,Company_Cat!$B$2:$H$623,6,FALSE),"")</f>
        <v/>
      </c>
    </row>
    <row r="314">
      <c r="A314" s="6">
        <f>IFERROR(VLOOKUP($B314,Company_Cat!$B$2:$E$623,2,FALSE),"")</f>
        <v/>
      </c>
      <c r="B314" s="4" t="n"/>
      <c r="C314" s="6">
        <f>IFERROR(VLOOKUP($B314,Company_Cat!$B$2:$H$623,6,FALSE),"")</f>
        <v/>
      </c>
    </row>
    <row r="315">
      <c r="A315" s="6">
        <f>IFERROR(VLOOKUP($B315,Company_Cat!$B$2:$E$623,2,FALSE),"")</f>
        <v/>
      </c>
      <c r="B315" s="4" t="n"/>
      <c r="C315" s="6">
        <f>IFERROR(VLOOKUP($B315,Company_Cat!$B$2:$H$623,6,FALSE),"")</f>
        <v/>
      </c>
    </row>
    <row r="316">
      <c r="A316" s="6">
        <f>IFERROR(VLOOKUP($B316,Company_Cat!$B$2:$E$623,2,FALSE),"")</f>
        <v/>
      </c>
      <c r="B316" s="4" t="n"/>
      <c r="C316" s="6">
        <f>IFERROR(VLOOKUP($B316,Company_Cat!$B$2:$H$623,6,FALSE),"")</f>
        <v/>
      </c>
    </row>
    <row r="317">
      <c r="A317" s="6">
        <f>IFERROR(VLOOKUP($B317,Company_Cat!$B$2:$E$623,2,FALSE),"")</f>
        <v/>
      </c>
      <c r="B317" s="4" t="n"/>
      <c r="C317" s="6">
        <f>IFERROR(VLOOKUP($B317,Company_Cat!$B$2:$H$623,6,FALSE),"")</f>
        <v/>
      </c>
    </row>
    <row r="318">
      <c r="A318" s="6">
        <f>IFERROR(VLOOKUP($B318,Company_Cat!$B$2:$E$623,2,FALSE),"")</f>
        <v/>
      </c>
      <c r="B318" s="4" t="n"/>
      <c r="C318" s="6">
        <f>IFERROR(VLOOKUP($B318,Company_Cat!$B$2:$H$623,6,FALSE),"")</f>
        <v/>
      </c>
    </row>
    <row r="319">
      <c r="A319" s="6">
        <f>IFERROR(VLOOKUP($B319,Company_Cat!$B$2:$E$623,2,FALSE),"")</f>
        <v/>
      </c>
      <c r="B319" s="4" t="n"/>
      <c r="C319" s="6">
        <f>IFERROR(VLOOKUP($B319,Company_Cat!$B$2:$H$623,6,FALSE),"")</f>
        <v/>
      </c>
    </row>
    <row r="320">
      <c r="A320" s="6">
        <f>IFERROR(VLOOKUP($B320,Company_Cat!$B$2:$E$623,2,FALSE),"")</f>
        <v/>
      </c>
      <c r="B320" s="4" t="n"/>
      <c r="C320" s="6">
        <f>IFERROR(VLOOKUP($B320,Company_Cat!$B$2:$H$623,6,FALSE),"")</f>
        <v/>
      </c>
    </row>
    <row r="321">
      <c r="A321" s="6">
        <f>IFERROR(VLOOKUP($B321,Company_Cat!$B$2:$E$623,2,FALSE),"")</f>
        <v/>
      </c>
      <c r="B321" s="4" t="n"/>
      <c r="C321" s="6">
        <f>IFERROR(VLOOKUP($B321,Company_Cat!$B$2:$H$623,6,FALSE),"")</f>
        <v/>
      </c>
    </row>
    <row r="322">
      <c r="A322" s="6">
        <f>IFERROR(VLOOKUP($B322,Company_Cat!$B$2:$E$623,2,FALSE),"")</f>
        <v/>
      </c>
      <c r="B322" s="4" t="n"/>
      <c r="C322" s="6">
        <f>IFERROR(VLOOKUP($B322,Company_Cat!$B$2:$H$623,6,FALSE),"")</f>
        <v/>
      </c>
    </row>
    <row r="323">
      <c r="A323" s="6">
        <f>IFERROR(VLOOKUP($B323,Company_Cat!$B$2:$E$623,2,FALSE),"")</f>
        <v/>
      </c>
      <c r="B323" s="4" t="n"/>
      <c r="C323" s="6">
        <f>IFERROR(VLOOKUP($B323,Company_Cat!$B$2:$H$623,6,FALSE),"")</f>
        <v/>
      </c>
    </row>
    <row r="324">
      <c r="A324" s="6">
        <f>IFERROR(VLOOKUP($B324,Company_Cat!$B$2:$E$623,2,FALSE),"")</f>
        <v/>
      </c>
      <c r="B324" s="4" t="n"/>
      <c r="C324" s="6">
        <f>IFERROR(VLOOKUP($B324,Company_Cat!$B$2:$H$623,6,FALSE),"")</f>
        <v/>
      </c>
    </row>
    <row r="325">
      <c r="A325" s="6">
        <f>IFERROR(VLOOKUP($B325,Company_Cat!$B$2:$E$623,2,FALSE),"")</f>
        <v/>
      </c>
      <c r="B325" s="4" t="n"/>
      <c r="C325" s="6">
        <f>IFERROR(VLOOKUP($B325,Company_Cat!$B$2:$H$623,6,FALSE),"")</f>
        <v/>
      </c>
    </row>
    <row r="326">
      <c r="A326" s="6">
        <f>IFERROR(VLOOKUP($B326,Company_Cat!$B$2:$E$623,2,FALSE),"")</f>
        <v/>
      </c>
      <c r="B326" s="4" t="n"/>
      <c r="C326" s="6">
        <f>IFERROR(VLOOKUP($B326,Company_Cat!$B$2:$H$623,6,FALSE),"")</f>
        <v/>
      </c>
    </row>
    <row r="327">
      <c r="A327" s="6">
        <f>IFERROR(VLOOKUP($B327,Company_Cat!$B$2:$E$623,2,FALSE),"")</f>
        <v/>
      </c>
      <c r="B327" s="4" t="n"/>
      <c r="C327" s="6">
        <f>IFERROR(VLOOKUP($B327,Company_Cat!$B$2:$H$623,6,FALSE),"")</f>
        <v/>
      </c>
    </row>
    <row r="328">
      <c r="A328" s="6">
        <f>IFERROR(VLOOKUP($B328,Company_Cat!$B$2:$E$623,2,FALSE),"")</f>
        <v/>
      </c>
      <c r="B328" s="4" t="n"/>
      <c r="C328" s="6">
        <f>IFERROR(VLOOKUP($B328,Company_Cat!$B$2:$H$623,6,FALSE),"")</f>
        <v/>
      </c>
    </row>
    <row r="329">
      <c r="A329" s="6">
        <f>IFERROR(VLOOKUP($B329,Company_Cat!$B$2:$E$623,2,FALSE),"")</f>
        <v/>
      </c>
      <c r="B329" s="4" t="n"/>
      <c r="C329" s="6">
        <f>IFERROR(VLOOKUP($B329,Company_Cat!$B$2:$H$623,6,FALSE),"")</f>
        <v/>
      </c>
    </row>
    <row r="330">
      <c r="A330" s="6">
        <f>IFERROR(VLOOKUP($B330,Company_Cat!$B$2:$E$623,2,FALSE),"")</f>
        <v/>
      </c>
      <c r="B330" s="4" t="n"/>
      <c r="C330" s="6">
        <f>IFERROR(VLOOKUP($B330,Company_Cat!$B$2:$H$623,6,FALSE),"")</f>
        <v/>
      </c>
    </row>
    <row r="331">
      <c r="A331" s="6">
        <f>IFERROR(VLOOKUP($B331,Company_Cat!$B$2:$E$623,2,FALSE),"")</f>
        <v/>
      </c>
      <c r="B331" s="4" t="n"/>
      <c r="C331" s="6">
        <f>IFERROR(VLOOKUP($B331,Company_Cat!$B$2:$H$623,6,FALSE),"")</f>
        <v/>
      </c>
    </row>
    <row r="332">
      <c r="A332" s="6">
        <f>IFERROR(VLOOKUP($B332,Company_Cat!$B$2:$E$623,2,FALSE),"")</f>
        <v/>
      </c>
      <c r="B332" s="4" t="n"/>
      <c r="C332" s="6">
        <f>IFERROR(VLOOKUP($B332,Company_Cat!$B$2:$H$623,6,FALSE),"")</f>
        <v/>
      </c>
    </row>
    <row r="333">
      <c r="A333" s="6">
        <f>IFERROR(VLOOKUP($B333,Company_Cat!$B$2:$E$623,2,FALSE),"")</f>
        <v/>
      </c>
      <c r="B333" s="4" t="n"/>
      <c r="C333" s="6">
        <f>IFERROR(VLOOKUP($B333,Company_Cat!$B$2:$H$623,6,FALSE),"")</f>
        <v/>
      </c>
    </row>
    <row r="334">
      <c r="A334" s="6">
        <f>IFERROR(VLOOKUP($B334,Company_Cat!$B$2:$E$623,2,FALSE),"")</f>
        <v/>
      </c>
      <c r="B334" s="4" t="n"/>
      <c r="C334" s="6">
        <f>IFERROR(VLOOKUP($B334,Company_Cat!$B$2:$H$623,6,FALSE),"")</f>
        <v/>
      </c>
    </row>
    <row r="335">
      <c r="A335" s="6">
        <f>IFERROR(VLOOKUP($B335,Company_Cat!$B$2:$E$623,2,FALSE),"")</f>
        <v/>
      </c>
      <c r="B335" s="4" t="n"/>
      <c r="C335" s="6">
        <f>IFERROR(VLOOKUP($B335,Company_Cat!$B$2:$H$623,6,FALSE),"")</f>
        <v/>
      </c>
    </row>
    <row r="336">
      <c r="A336" s="6">
        <f>IFERROR(VLOOKUP($B336,Company_Cat!$B$2:$E$623,2,FALSE),"")</f>
        <v/>
      </c>
      <c r="B336" s="4" t="n"/>
      <c r="C336" s="6">
        <f>IFERROR(VLOOKUP($B336,Company_Cat!$B$2:$H$623,6,FALSE),"")</f>
        <v/>
      </c>
    </row>
    <row r="337">
      <c r="A337" s="6">
        <f>IFERROR(VLOOKUP($B337,Company_Cat!$B$2:$E$623,2,FALSE),"")</f>
        <v/>
      </c>
      <c r="B337" s="4" t="n"/>
      <c r="C337" s="6">
        <f>IFERROR(VLOOKUP($B337,Company_Cat!$B$2:$H$623,6,FALSE),"")</f>
        <v/>
      </c>
    </row>
    <row r="338">
      <c r="A338" s="6">
        <f>IFERROR(VLOOKUP($B338,Company_Cat!$B$2:$E$623,2,FALSE),"")</f>
        <v/>
      </c>
      <c r="B338" s="4" t="n"/>
      <c r="C338" s="6">
        <f>IFERROR(VLOOKUP($B338,Company_Cat!$B$2:$H$623,6,FALSE),"")</f>
        <v/>
      </c>
    </row>
    <row r="339">
      <c r="A339" s="6">
        <f>IFERROR(VLOOKUP($B339,Company_Cat!$B$2:$E$623,2,FALSE),"")</f>
        <v/>
      </c>
      <c r="B339" s="4" t="n"/>
      <c r="C339" s="6">
        <f>IFERROR(VLOOKUP($B339,Company_Cat!$B$2:$H$623,6,FALSE),"")</f>
        <v/>
      </c>
    </row>
    <row r="340">
      <c r="A340" s="6">
        <f>IFERROR(VLOOKUP($B340,Company_Cat!$B$2:$E$623,2,FALSE),"")</f>
        <v/>
      </c>
      <c r="B340" s="4" t="n"/>
      <c r="C340" s="6">
        <f>IFERROR(VLOOKUP($B340,Company_Cat!$B$2:$H$623,6,FALSE),"")</f>
        <v/>
      </c>
    </row>
    <row r="341">
      <c r="A341" s="6">
        <f>IFERROR(VLOOKUP($B341,Company_Cat!$B$2:$E$623,2,FALSE),"")</f>
        <v/>
      </c>
      <c r="B341" s="4" t="n"/>
      <c r="C341" s="6">
        <f>IFERROR(VLOOKUP($B341,Company_Cat!$B$2:$H$623,6,FALSE),"")</f>
        <v/>
      </c>
    </row>
    <row r="342">
      <c r="A342" s="6">
        <f>IFERROR(VLOOKUP($B342,Company_Cat!$B$2:$E$623,2,FALSE),"")</f>
        <v/>
      </c>
      <c r="B342" s="4" t="n"/>
      <c r="C342" s="6">
        <f>IFERROR(VLOOKUP($B342,Company_Cat!$B$2:$H$623,6,FALSE),"")</f>
        <v/>
      </c>
    </row>
    <row r="343">
      <c r="A343" s="6">
        <f>IFERROR(VLOOKUP($B343,Company_Cat!$B$2:$E$623,2,FALSE),"")</f>
        <v/>
      </c>
      <c r="B343" s="4" t="n"/>
      <c r="C343" s="6">
        <f>IFERROR(VLOOKUP($B343,Company_Cat!$B$2:$H$623,6,FALSE),"")</f>
        <v/>
      </c>
    </row>
    <row r="344">
      <c r="A344" s="6">
        <f>IFERROR(VLOOKUP($B344,Company_Cat!$B$2:$E$623,2,FALSE),"")</f>
        <v/>
      </c>
      <c r="B344" s="4" t="n"/>
      <c r="C344" s="6">
        <f>IFERROR(VLOOKUP($B344,Company_Cat!$B$2:$H$623,6,FALSE),"")</f>
        <v/>
      </c>
    </row>
    <row r="345">
      <c r="A345" s="6">
        <f>IFERROR(VLOOKUP($B345,Company_Cat!$B$2:$E$623,2,FALSE),"")</f>
        <v/>
      </c>
      <c r="B345" s="4" t="n"/>
      <c r="C345" s="6">
        <f>IFERROR(VLOOKUP($B345,Company_Cat!$B$2:$H$623,6,FALSE),"")</f>
        <v/>
      </c>
    </row>
    <row r="346">
      <c r="A346" s="6">
        <f>IFERROR(VLOOKUP($B346,Company_Cat!$B$2:$E$623,2,FALSE),"")</f>
        <v/>
      </c>
      <c r="B346" s="4" t="n"/>
      <c r="C346" s="6">
        <f>IFERROR(VLOOKUP($B346,Company_Cat!$B$2:$H$623,6,FALSE),"")</f>
        <v/>
      </c>
    </row>
    <row r="347">
      <c r="A347" s="6">
        <f>IFERROR(VLOOKUP($B347,Company_Cat!$B$2:$E$623,2,FALSE),"")</f>
        <v/>
      </c>
      <c r="B347" s="4" t="n"/>
      <c r="C347" s="6">
        <f>IFERROR(VLOOKUP($B347,Company_Cat!$B$2:$H$623,6,FALSE),"")</f>
        <v/>
      </c>
    </row>
    <row r="348">
      <c r="A348" s="6">
        <f>IFERROR(VLOOKUP($B348,Company_Cat!$B$2:$E$623,2,FALSE),"")</f>
        <v/>
      </c>
      <c r="B348" s="4" t="n"/>
      <c r="C348" s="6">
        <f>IFERROR(VLOOKUP($B348,Company_Cat!$B$2:$H$623,6,FALSE),"")</f>
        <v/>
      </c>
    </row>
    <row r="349">
      <c r="A349" s="6">
        <f>IFERROR(VLOOKUP($B349,Company_Cat!$B$2:$E$623,2,FALSE),"")</f>
        <v/>
      </c>
      <c r="B349" s="4" t="n"/>
      <c r="C349" s="6">
        <f>IFERROR(VLOOKUP($B349,Company_Cat!$B$2:$H$623,6,FALSE),"")</f>
        <v/>
      </c>
    </row>
    <row r="350">
      <c r="A350" s="6">
        <f>IFERROR(VLOOKUP($B350,Company_Cat!$B$2:$E$623,2,FALSE),"")</f>
        <v/>
      </c>
      <c r="B350" s="4" t="n"/>
      <c r="C350" s="6">
        <f>IFERROR(VLOOKUP($B350,Company_Cat!$B$2:$H$623,6,FALSE),"")</f>
        <v/>
      </c>
    </row>
    <row r="351">
      <c r="A351" s="6">
        <f>IFERROR(VLOOKUP($B351,Company_Cat!$B$2:$E$623,2,FALSE),"")</f>
        <v/>
      </c>
      <c r="B351" s="4" t="n"/>
      <c r="C351" s="6">
        <f>IFERROR(VLOOKUP($B351,Company_Cat!$B$2:$H$623,6,FALSE),"")</f>
        <v/>
      </c>
    </row>
    <row r="352">
      <c r="A352" s="6">
        <f>IFERROR(VLOOKUP($B352,Company_Cat!$B$2:$E$623,2,FALSE),"")</f>
        <v/>
      </c>
      <c r="B352" s="4" t="n"/>
      <c r="C352" s="6">
        <f>IFERROR(VLOOKUP($B352,Company_Cat!$B$2:$H$623,6,FALSE),"")</f>
        <v/>
      </c>
    </row>
    <row r="353">
      <c r="A353" s="6">
        <f>IFERROR(VLOOKUP($B353,Company_Cat!$B$2:$E$623,2,FALSE),"")</f>
        <v/>
      </c>
      <c r="B353" s="4" t="n"/>
      <c r="C353" s="6">
        <f>IFERROR(VLOOKUP($B353,Company_Cat!$B$2:$H$623,6,FALSE),"")</f>
        <v/>
      </c>
    </row>
    <row r="354">
      <c r="A354" s="6">
        <f>IFERROR(VLOOKUP($B354,Company_Cat!$B$2:$E$623,2,FALSE),"")</f>
        <v/>
      </c>
      <c r="B354" s="4" t="n"/>
      <c r="C354" s="6">
        <f>IFERROR(VLOOKUP($B354,Company_Cat!$B$2:$H$623,6,FALSE),"")</f>
        <v/>
      </c>
    </row>
    <row r="355">
      <c r="A355" s="6">
        <f>IFERROR(VLOOKUP($B355,Company_Cat!$B$2:$E$623,2,FALSE),"")</f>
        <v/>
      </c>
      <c r="B355" s="4" t="n"/>
      <c r="C355" s="6">
        <f>IFERROR(VLOOKUP($B355,Company_Cat!$B$2:$H$623,6,FALSE),"")</f>
        <v/>
      </c>
    </row>
    <row r="356">
      <c r="A356" s="6">
        <f>IFERROR(VLOOKUP($B356,Company_Cat!$B$2:$E$623,2,FALSE),"")</f>
        <v/>
      </c>
      <c r="B356" s="4" t="n"/>
      <c r="C356" s="6">
        <f>IFERROR(VLOOKUP($B356,Company_Cat!$B$2:$H$623,6,FALSE),"")</f>
        <v/>
      </c>
    </row>
    <row r="357">
      <c r="A357" s="6">
        <f>IFERROR(VLOOKUP($B357,Company_Cat!$B$2:$E$623,2,FALSE),"")</f>
        <v/>
      </c>
      <c r="B357" s="4" t="n"/>
      <c r="C357" s="6">
        <f>IFERROR(VLOOKUP($B357,Company_Cat!$B$2:$H$623,6,FALSE),"")</f>
        <v/>
      </c>
    </row>
    <row r="358">
      <c r="A358" s="6">
        <f>IFERROR(VLOOKUP($B358,Company_Cat!$B$2:$E$623,2,FALSE),"")</f>
        <v/>
      </c>
      <c r="B358" s="4" t="n"/>
      <c r="C358" s="6">
        <f>IFERROR(VLOOKUP($B358,Company_Cat!$B$2:$H$623,6,FALSE),"")</f>
        <v/>
      </c>
    </row>
    <row r="359">
      <c r="A359" s="6">
        <f>IFERROR(VLOOKUP($B359,Company_Cat!$B$2:$E$623,2,FALSE),"")</f>
        <v/>
      </c>
      <c r="B359" s="4" t="n"/>
      <c r="C359" s="6">
        <f>IFERROR(VLOOKUP($B359,Company_Cat!$B$2:$H$623,6,FALSE),"")</f>
        <v/>
      </c>
    </row>
    <row r="360">
      <c r="A360" s="6">
        <f>IFERROR(VLOOKUP($B360,Company_Cat!$B$2:$E$623,2,FALSE),"")</f>
        <v/>
      </c>
      <c r="B360" s="4" t="n"/>
      <c r="C360" s="6">
        <f>IFERROR(VLOOKUP($B360,Company_Cat!$B$2:$H$623,6,FALSE),"")</f>
        <v/>
      </c>
    </row>
    <row r="361">
      <c r="A361" s="6">
        <f>IFERROR(VLOOKUP($B361,Company_Cat!$B$2:$E$623,2,FALSE),"")</f>
        <v/>
      </c>
      <c r="B361" s="4" t="n"/>
      <c r="C361" s="6">
        <f>IFERROR(VLOOKUP($B361,Company_Cat!$B$2:$H$623,6,FALSE),"")</f>
        <v/>
      </c>
    </row>
    <row r="362">
      <c r="A362" s="6">
        <f>IFERROR(VLOOKUP($B362,Company_Cat!$B$2:$E$623,2,FALSE),"")</f>
        <v/>
      </c>
      <c r="B362" s="4" t="n"/>
      <c r="C362" s="6">
        <f>IFERROR(VLOOKUP($B362,Company_Cat!$B$2:$H$623,6,FALSE),"")</f>
        <v/>
      </c>
    </row>
    <row r="363">
      <c r="A363" s="6">
        <f>IFERROR(VLOOKUP($B363,Company_Cat!$B$2:$E$623,2,FALSE),"")</f>
        <v/>
      </c>
      <c r="B363" s="4" t="n"/>
      <c r="C363" s="6">
        <f>IFERROR(VLOOKUP($B363,Company_Cat!$B$2:$H$623,6,FALSE),"")</f>
        <v/>
      </c>
    </row>
    <row r="364">
      <c r="A364" s="6">
        <f>IFERROR(VLOOKUP($B364,Company_Cat!$B$2:$E$623,2,FALSE),"")</f>
        <v/>
      </c>
      <c r="B364" s="4" t="n"/>
      <c r="C364" s="6">
        <f>IFERROR(VLOOKUP($B364,Company_Cat!$B$2:$H$623,6,FALSE),"")</f>
        <v/>
      </c>
    </row>
    <row r="365">
      <c r="A365" s="6">
        <f>IFERROR(VLOOKUP($B365,Company_Cat!$B$2:$E$623,2,FALSE),"")</f>
        <v/>
      </c>
      <c r="B365" s="4" t="n"/>
      <c r="C365" s="6">
        <f>IFERROR(VLOOKUP($B365,Company_Cat!$B$2:$H$623,6,FALSE),"")</f>
        <v/>
      </c>
    </row>
    <row r="366">
      <c r="A366" s="6">
        <f>IFERROR(VLOOKUP($B366,Company_Cat!$B$2:$E$623,2,FALSE),"")</f>
        <v/>
      </c>
      <c r="B366" s="4" t="n"/>
      <c r="C366" s="6">
        <f>IFERROR(VLOOKUP($B366,Company_Cat!$B$2:$H$623,6,FALSE),"")</f>
        <v/>
      </c>
    </row>
    <row r="367">
      <c r="A367" s="6">
        <f>IFERROR(VLOOKUP($B367,Company_Cat!$B$2:$E$623,2,FALSE),"")</f>
        <v/>
      </c>
      <c r="B367" s="4" t="n"/>
      <c r="C367" s="6">
        <f>IFERROR(VLOOKUP($B367,Company_Cat!$B$2:$H$623,6,FALSE),"")</f>
        <v/>
      </c>
    </row>
    <row r="368">
      <c r="A368" s="6">
        <f>IFERROR(VLOOKUP($B368,Company_Cat!$B$2:$E$623,2,FALSE),"")</f>
        <v/>
      </c>
      <c r="B368" s="4" t="n"/>
      <c r="C368" s="6">
        <f>IFERROR(VLOOKUP($B368,Company_Cat!$B$2:$H$623,6,FALSE),"")</f>
        <v/>
      </c>
    </row>
    <row r="369">
      <c r="A369" s="6">
        <f>IFERROR(VLOOKUP($B369,Company_Cat!$B$2:$E$623,2,FALSE),"")</f>
        <v/>
      </c>
      <c r="B369" s="4" t="n"/>
      <c r="C369" s="6">
        <f>IFERROR(VLOOKUP($B369,Company_Cat!$B$2:$H$623,6,FALSE),"")</f>
        <v/>
      </c>
    </row>
    <row r="370">
      <c r="A370" s="6">
        <f>IFERROR(VLOOKUP($B370,Company_Cat!$B$2:$E$623,2,FALSE),"")</f>
        <v/>
      </c>
      <c r="B370" s="4" t="n"/>
      <c r="C370" s="6">
        <f>IFERROR(VLOOKUP($B370,Company_Cat!$B$2:$H$623,6,FALSE),"")</f>
        <v/>
      </c>
    </row>
    <row r="371">
      <c r="A371" s="6">
        <f>IFERROR(VLOOKUP($B371,Company_Cat!$B$2:$E$623,2,FALSE),"")</f>
        <v/>
      </c>
      <c r="B371" s="4" t="n"/>
      <c r="C371" s="6">
        <f>IFERROR(VLOOKUP($B371,Company_Cat!$B$2:$H$623,6,FALSE),"")</f>
        <v/>
      </c>
    </row>
    <row r="372">
      <c r="A372" s="6">
        <f>IFERROR(VLOOKUP($B372,Company_Cat!$B$2:$E$623,2,FALSE),"")</f>
        <v/>
      </c>
      <c r="B372" s="4" t="n"/>
      <c r="C372" s="6">
        <f>IFERROR(VLOOKUP($B372,Company_Cat!$B$2:$H$623,6,FALSE),"")</f>
        <v/>
      </c>
    </row>
    <row r="373">
      <c r="A373" s="6">
        <f>IFERROR(VLOOKUP($B373,Company_Cat!$B$2:$E$623,2,FALSE),"")</f>
        <v/>
      </c>
      <c r="B373" s="4" t="n"/>
      <c r="C373" s="6">
        <f>IFERROR(VLOOKUP($B373,Company_Cat!$B$2:$H$623,6,FALSE),"")</f>
        <v/>
      </c>
    </row>
    <row r="374">
      <c r="A374" s="6">
        <f>IFERROR(VLOOKUP($B374,Company_Cat!$B$2:$E$623,2,FALSE),"")</f>
        <v/>
      </c>
      <c r="B374" s="4" t="n"/>
      <c r="C374" s="6">
        <f>IFERROR(VLOOKUP($B374,Company_Cat!$B$2:$H$623,6,FALSE),"")</f>
        <v/>
      </c>
    </row>
    <row r="375">
      <c r="A375" s="6">
        <f>IFERROR(VLOOKUP($B375,Company_Cat!$B$2:$E$623,2,FALSE),"")</f>
        <v/>
      </c>
      <c r="B375" s="4" t="n"/>
      <c r="C375" s="6">
        <f>IFERROR(VLOOKUP($B375,Company_Cat!$B$2:$H$623,6,FALSE),"")</f>
        <v/>
      </c>
    </row>
    <row r="376">
      <c r="A376" s="6">
        <f>IFERROR(VLOOKUP($B376,Company_Cat!$B$2:$E$623,2,FALSE),"")</f>
        <v/>
      </c>
      <c r="B376" s="4" t="n"/>
      <c r="C376" s="6">
        <f>IFERROR(VLOOKUP($B376,Company_Cat!$B$2:$H$623,6,FALSE),"")</f>
        <v/>
      </c>
    </row>
    <row r="377">
      <c r="A377" s="6">
        <f>IFERROR(VLOOKUP($B377,Company_Cat!$B$2:$E$623,2,FALSE),"")</f>
        <v/>
      </c>
      <c r="B377" s="4" t="n"/>
      <c r="C377" s="6">
        <f>IFERROR(VLOOKUP($B377,Company_Cat!$B$2:$H$623,6,FALSE),"")</f>
        <v/>
      </c>
    </row>
    <row r="378">
      <c r="A378" s="6">
        <f>IFERROR(VLOOKUP($B378,Company_Cat!$B$2:$E$623,2,FALSE),"")</f>
        <v/>
      </c>
      <c r="B378" s="4" t="n"/>
      <c r="C378" s="6">
        <f>IFERROR(VLOOKUP($B378,Company_Cat!$B$2:$H$623,6,FALSE),"")</f>
        <v/>
      </c>
    </row>
    <row r="379">
      <c r="A379" s="6">
        <f>IFERROR(VLOOKUP($B379,Company_Cat!$B$2:$E$623,2,FALSE),"")</f>
        <v/>
      </c>
      <c r="B379" s="4" t="n"/>
      <c r="C379" s="6">
        <f>IFERROR(VLOOKUP($B379,Company_Cat!$B$2:$H$623,6,FALSE),"")</f>
        <v/>
      </c>
    </row>
    <row r="380">
      <c r="A380" s="6">
        <f>IFERROR(VLOOKUP($B380,Company_Cat!$B$2:$E$623,2,FALSE),"")</f>
        <v/>
      </c>
      <c r="B380" s="4" t="n"/>
      <c r="C380" s="6">
        <f>IFERROR(VLOOKUP($B380,Company_Cat!$B$2:$H$623,6,FALSE),"")</f>
        <v/>
      </c>
    </row>
    <row r="381">
      <c r="A381" s="6">
        <f>IFERROR(VLOOKUP($B381,Company_Cat!$B$2:$E$623,2,FALSE),"")</f>
        <v/>
      </c>
      <c r="B381" s="4" t="n"/>
      <c r="C381" s="6">
        <f>IFERROR(VLOOKUP($B381,Company_Cat!$B$2:$H$623,6,FALSE),"")</f>
        <v/>
      </c>
    </row>
    <row r="382">
      <c r="A382" s="6">
        <f>IFERROR(VLOOKUP($B382,Company_Cat!$B$2:$E$623,2,FALSE),"")</f>
        <v/>
      </c>
      <c r="B382" s="4" t="n"/>
      <c r="C382" s="6">
        <f>IFERROR(VLOOKUP($B382,Company_Cat!$B$2:$H$623,6,FALSE),"")</f>
        <v/>
      </c>
    </row>
    <row r="383">
      <c r="A383" s="6">
        <f>IFERROR(VLOOKUP($B383,Company_Cat!$B$2:$E$623,2,FALSE),"")</f>
        <v/>
      </c>
      <c r="B383" s="4" t="n"/>
      <c r="C383" s="6">
        <f>IFERROR(VLOOKUP($B383,Company_Cat!$B$2:$H$623,6,FALSE),"")</f>
        <v/>
      </c>
    </row>
    <row r="384">
      <c r="A384" s="6">
        <f>IFERROR(VLOOKUP($B384,Company_Cat!$B$2:$E$623,2,FALSE),"")</f>
        <v/>
      </c>
      <c r="B384" s="4" t="n"/>
      <c r="C384" s="6">
        <f>IFERROR(VLOOKUP($B384,Company_Cat!$B$2:$H$623,6,FALSE),"")</f>
        <v/>
      </c>
    </row>
    <row r="385">
      <c r="A385" s="6">
        <f>IFERROR(VLOOKUP($B385,Company_Cat!$B$2:$E$623,2,FALSE),"")</f>
        <v/>
      </c>
      <c r="B385" s="4" t="n"/>
      <c r="C385" s="6">
        <f>IFERROR(VLOOKUP($B385,Company_Cat!$B$2:$H$623,6,FALSE),"")</f>
        <v/>
      </c>
    </row>
    <row r="386">
      <c r="A386" s="6">
        <f>IFERROR(VLOOKUP($B386,Company_Cat!$B$2:$E$623,2,FALSE),"")</f>
        <v/>
      </c>
      <c r="B386" s="4" t="n"/>
      <c r="C386" s="6">
        <f>IFERROR(VLOOKUP($B386,Company_Cat!$B$2:$H$623,6,FALSE),"")</f>
        <v/>
      </c>
    </row>
    <row r="387">
      <c r="A387" s="6">
        <f>IFERROR(VLOOKUP($B387,Company_Cat!$B$2:$E$623,2,FALSE),"")</f>
        <v/>
      </c>
      <c r="B387" s="4" t="n"/>
      <c r="C387" s="6">
        <f>IFERROR(VLOOKUP($B387,Company_Cat!$B$2:$H$623,6,FALSE),"")</f>
        <v/>
      </c>
    </row>
    <row r="388">
      <c r="A388" s="6">
        <f>IFERROR(VLOOKUP($B388,Company_Cat!$B$2:$E$623,2,FALSE),"")</f>
        <v/>
      </c>
      <c r="B388" s="4" t="n"/>
      <c r="C388" s="6">
        <f>IFERROR(VLOOKUP($B388,Company_Cat!$B$2:$H$623,6,FALSE),"")</f>
        <v/>
      </c>
    </row>
    <row r="389">
      <c r="A389" s="6">
        <f>IFERROR(VLOOKUP($B389,Company_Cat!$B$2:$E$623,2,FALSE),"")</f>
        <v/>
      </c>
      <c r="B389" s="4" t="n"/>
      <c r="C389" s="6">
        <f>IFERROR(VLOOKUP($B389,Company_Cat!$B$2:$H$623,6,FALSE),"")</f>
        <v/>
      </c>
    </row>
    <row r="390">
      <c r="A390" s="6">
        <f>IFERROR(VLOOKUP($B390,Company_Cat!$B$2:$E$623,2,FALSE),"")</f>
        <v/>
      </c>
      <c r="B390" s="4" t="n"/>
      <c r="C390" s="6">
        <f>IFERROR(VLOOKUP($B390,Company_Cat!$B$2:$H$623,6,FALSE),"")</f>
        <v/>
      </c>
    </row>
    <row r="391">
      <c r="A391" s="6">
        <f>IFERROR(VLOOKUP($B391,Company_Cat!$B$2:$E$623,2,FALSE),"")</f>
        <v/>
      </c>
      <c r="B391" s="4" t="n"/>
      <c r="C391" s="6">
        <f>IFERROR(VLOOKUP($B391,Company_Cat!$B$2:$H$623,6,FALSE),"")</f>
        <v/>
      </c>
    </row>
    <row r="392">
      <c r="A392" s="6">
        <f>IFERROR(VLOOKUP($B392,Company_Cat!$B$2:$E$623,2,FALSE),"")</f>
        <v/>
      </c>
      <c r="B392" s="4" t="n"/>
      <c r="C392" s="6">
        <f>IFERROR(VLOOKUP($B392,Company_Cat!$B$2:$H$623,6,FALSE),"")</f>
        <v/>
      </c>
    </row>
    <row r="393">
      <c r="A393" s="6">
        <f>IFERROR(VLOOKUP($B393,Company_Cat!$B$2:$E$623,2,FALSE),"")</f>
        <v/>
      </c>
      <c r="B393" s="4" t="n"/>
      <c r="C393" s="6">
        <f>IFERROR(VLOOKUP($B393,Company_Cat!$B$2:$H$623,6,FALSE),"")</f>
        <v/>
      </c>
    </row>
    <row r="394">
      <c r="A394" s="6">
        <f>IFERROR(VLOOKUP($B394,Company_Cat!$B$2:$E$623,2,FALSE),"")</f>
        <v/>
      </c>
      <c r="B394" s="4" t="n"/>
      <c r="C394" s="6">
        <f>IFERROR(VLOOKUP($B394,Company_Cat!$B$2:$H$623,6,FALSE),"")</f>
        <v/>
      </c>
    </row>
    <row r="395">
      <c r="A395" s="6">
        <f>IFERROR(VLOOKUP($B395,Company_Cat!$B$2:$E$623,2,FALSE),"")</f>
        <v/>
      </c>
      <c r="B395" s="4" t="n"/>
      <c r="C395" s="6">
        <f>IFERROR(VLOOKUP($B395,Company_Cat!$B$2:$H$623,6,FALSE),"")</f>
        <v/>
      </c>
    </row>
    <row r="396">
      <c r="A396" s="6">
        <f>IFERROR(VLOOKUP($B396,Company_Cat!$B$2:$E$623,2,FALSE),"")</f>
        <v/>
      </c>
      <c r="B396" s="4" t="n"/>
      <c r="C396" s="6">
        <f>IFERROR(VLOOKUP($B396,Company_Cat!$B$2:$H$623,6,FALSE),"")</f>
        <v/>
      </c>
    </row>
    <row r="397">
      <c r="A397" s="6">
        <f>IFERROR(VLOOKUP($B397,Company_Cat!$B$2:$E$623,2,FALSE),"")</f>
        <v/>
      </c>
      <c r="B397" s="4" t="n"/>
      <c r="C397" s="6">
        <f>IFERROR(VLOOKUP($B397,Company_Cat!$B$2:$H$623,6,FALSE),"")</f>
        <v/>
      </c>
    </row>
    <row r="398">
      <c r="A398" s="6">
        <f>IFERROR(VLOOKUP($B398,Company_Cat!$B$2:$E$623,2,FALSE),"")</f>
        <v/>
      </c>
      <c r="B398" s="4" t="n"/>
      <c r="C398" s="6">
        <f>IFERROR(VLOOKUP($B398,Company_Cat!$B$2:$H$623,6,FALSE),"")</f>
        <v/>
      </c>
    </row>
    <row r="399">
      <c r="A399" s="6">
        <f>IFERROR(VLOOKUP($B399,Company_Cat!$B$2:$E$623,2,FALSE),"")</f>
        <v/>
      </c>
      <c r="B399" s="4" t="n"/>
      <c r="C399" s="6">
        <f>IFERROR(VLOOKUP($B399,Company_Cat!$B$2:$H$623,6,FALSE),"")</f>
        <v/>
      </c>
    </row>
    <row r="400">
      <c r="A400" s="6">
        <f>IFERROR(VLOOKUP($B400,Company_Cat!$B$2:$E$623,2,FALSE),"")</f>
        <v/>
      </c>
      <c r="B400" s="4" t="n"/>
      <c r="C400" s="6">
        <f>IFERROR(VLOOKUP($B400,Company_Cat!$B$2:$H$623,6,FALSE),"")</f>
        <v/>
      </c>
    </row>
    <row r="401">
      <c r="A401" s="6">
        <f>IFERROR(VLOOKUP($B401,Company_Cat!$B$2:$E$623,2,FALSE),"")</f>
        <v/>
      </c>
      <c r="B401" s="4" t="n"/>
      <c r="C401" s="6">
        <f>IFERROR(VLOOKUP($B401,Company_Cat!$B$2:$H$623,6,FALSE),"")</f>
        <v/>
      </c>
    </row>
    <row r="402">
      <c r="A402" s="6">
        <f>IFERROR(VLOOKUP($B402,Company_Cat!$B$2:$E$623,2,FALSE),"")</f>
        <v/>
      </c>
      <c r="B402" s="4" t="n"/>
      <c r="C402" s="6">
        <f>IFERROR(VLOOKUP($B402,Company_Cat!$B$2:$H$623,6,FALSE),"")</f>
        <v/>
      </c>
    </row>
    <row r="403">
      <c r="A403" s="6">
        <f>IFERROR(VLOOKUP($B403,Company_Cat!$B$2:$E$623,2,FALSE),"")</f>
        <v/>
      </c>
      <c r="B403" s="4" t="n"/>
      <c r="C403" s="6">
        <f>IFERROR(VLOOKUP($B403,Company_Cat!$B$2:$H$623,6,FALSE),"")</f>
        <v/>
      </c>
    </row>
    <row r="404">
      <c r="A404" s="6">
        <f>IFERROR(VLOOKUP($B404,Company_Cat!$B$2:$E$623,2,FALSE),"")</f>
        <v/>
      </c>
      <c r="B404" s="4" t="n"/>
      <c r="C404" s="6">
        <f>IFERROR(VLOOKUP($B404,Company_Cat!$B$2:$H$623,6,FALSE),"")</f>
        <v/>
      </c>
    </row>
    <row r="405">
      <c r="A405" s="6">
        <f>IFERROR(VLOOKUP($B405,Company_Cat!$B$2:$E$623,2,FALSE),"")</f>
        <v/>
      </c>
      <c r="B405" s="4" t="n"/>
      <c r="C405" s="6">
        <f>IFERROR(VLOOKUP($B405,Company_Cat!$B$2:$H$623,6,FALSE),"")</f>
        <v/>
      </c>
    </row>
    <row r="406">
      <c r="A406" s="6">
        <f>IFERROR(VLOOKUP($B406,Company_Cat!$B$2:$E$623,2,FALSE),"")</f>
        <v/>
      </c>
      <c r="B406" s="4" t="n"/>
      <c r="C406" s="6">
        <f>IFERROR(VLOOKUP($B406,Company_Cat!$B$2:$H$623,6,FALSE),"")</f>
        <v/>
      </c>
    </row>
    <row r="407">
      <c r="A407" s="6">
        <f>IFERROR(VLOOKUP($B407,Company_Cat!$B$2:$E$623,2,FALSE),"")</f>
        <v/>
      </c>
      <c r="B407" s="4" t="n"/>
      <c r="C407" s="6">
        <f>IFERROR(VLOOKUP($B407,Company_Cat!$B$2:$H$623,6,FALSE),"")</f>
        <v/>
      </c>
    </row>
    <row r="408">
      <c r="A408" s="6">
        <f>IFERROR(VLOOKUP($B408,Company_Cat!$B$2:$E$623,2,FALSE),"")</f>
        <v/>
      </c>
      <c r="B408" s="4" t="n"/>
      <c r="C408" s="6">
        <f>IFERROR(VLOOKUP($B408,Company_Cat!$B$2:$H$623,6,FALSE),"")</f>
        <v/>
      </c>
    </row>
    <row r="409">
      <c r="A409" s="6">
        <f>IFERROR(VLOOKUP($B409,Company_Cat!$B$2:$E$623,2,FALSE),"")</f>
        <v/>
      </c>
      <c r="B409" s="4" t="n"/>
      <c r="C409" s="6">
        <f>IFERROR(VLOOKUP($B409,Company_Cat!$B$2:$H$623,6,FALSE),"")</f>
        <v/>
      </c>
    </row>
    <row r="410">
      <c r="A410" s="6">
        <f>IFERROR(VLOOKUP($B410,Company_Cat!$B$2:$E$623,2,FALSE),"")</f>
        <v/>
      </c>
      <c r="B410" s="4" t="n"/>
      <c r="C410" s="6">
        <f>IFERROR(VLOOKUP($B410,Company_Cat!$B$2:$H$623,6,FALSE),"")</f>
        <v/>
      </c>
    </row>
    <row r="411">
      <c r="A411" s="6">
        <f>IFERROR(VLOOKUP($B411,Company_Cat!$B$2:$E$623,2,FALSE),"")</f>
        <v/>
      </c>
      <c r="B411" s="4" t="n"/>
      <c r="C411" s="6">
        <f>IFERROR(VLOOKUP($B411,Company_Cat!$B$2:$H$623,6,FALSE),"")</f>
        <v/>
      </c>
    </row>
    <row r="412">
      <c r="A412" s="6">
        <f>IFERROR(VLOOKUP($B412,Company_Cat!$B$2:$E$623,2,FALSE),"")</f>
        <v/>
      </c>
      <c r="B412" s="4" t="n"/>
      <c r="C412" s="6">
        <f>IFERROR(VLOOKUP($B412,Company_Cat!$B$2:$H$623,6,FALSE),"")</f>
        <v/>
      </c>
    </row>
    <row r="413">
      <c r="A413" s="6">
        <f>IFERROR(VLOOKUP($B413,Company_Cat!$B$2:$E$623,2,FALSE),"")</f>
        <v/>
      </c>
      <c r="B413" s="4" t="n"/>
      <c r="C413" s="6">
        <f>IFERROR(VLOOKUP($B413,Company_Cat!$B$2:$H$623,6,FALSE),"")</f>
        <v/>
      </c>
    </row>
    <row r="414">
      <c r="A414" s="6">
        <f>IFERROR(VLOOKUP($B414,Company_Cat!$B$2:$E$623,2,FALSE),"")</f>
        <v/>
      </c>
      <c r="B414" s="4" t="n"/>
      <c r="C414" s="6">
        <f>IFERROR(VLOOKUP($B414,Company_Cat!$B$2:$H$623,6,FALSE),"")</f>
        <v/>
      </c>
    </row>
    <row r="415">
      <c r="A415" s="6">
        <f>IFERROR(VLOOKUP($B415,Company_Cat!$B$2:$E$623,2,FALSE),"")</f>
        <v/>
      </c>
      <c r="B415" s="4" t="n"/>
      <c r="C415" s="6">
        <f>IFERROR(VLOOKUP($B415,Company_Cat!$B$2:$H$623,6,FALSE),"")</f>
        <v/>
      </c>
    </row>
    <row r="416">
      <c r="A416" s="6">
        <f>IFERROR(VLOOKUP($B416,Company_Cat!$B$2:$E$623,2,FALSE),"")</f>
        <v/>
      </c>
      <c r="B416" s="4" t="n"/>
      <c r="C416" s="6">
        <f>IFERROR(VLOOKUP($B416,Company_Cat!$B$2:$H$623,6,FALSE),"")</f>
        <v/>
      </c>
    </row>
    <row r="417">
      <c r="A417" s="6">
        <f>IFERROR(VLOOKUP($B417,Company_Cat!$B$2:$E$623,2,FALSE),"")</f>
        <v/>
      </c>
      <c r="B417" s="4" t="n"/>
      <c r="C417" s="6">
        <f>IFERROR(VLOOKUP($B417,Company_Cat!$B$2:$H$623,6,FALSE),"")</f>
        <v/>
      </c>
    </row>
    <row r="418">
      <c r="A418" s="6">
        <f>IFERROR(VLOOKUP($B418,Company_Cat!$B$2:$E$623,2,FALSE),"")</f>
        <v/>
      </c>
      <c r="B418" s="4" t="n"/>
      <c r="C418" s="6">
        <f>IFERROR(VLOOKUP($B418,Company_Cat!$B$2:$H$623,6,FALSE),"")</f>
        <v/>
      </c>
    </row>
    <row r="419">
      <c r="A419" s="6">
        <f>IFERROR(VLOOKUP($B419,Company_Cat!$B$2:$E$623,2,FALSE),"")</f>
        <v/>
      </c>
      <c r="B419" s="4" t="n"/>
      <c r="C419" s="6">
        <f>IFERROR(VLOOKUP($B419,Company_Cat!$B$2:$H$623,6,FALSE),"")</f>
        <v/>
      </c>
    </row>
    <row r="420">
      <c r="A420" s="6">
        <f>IFERROR(VLOOKUP($B420,Company_Cat!$B$2:$E$623,2,FALSE),"")</f>
        <v/>
      </c>
      <c r="B420" s="4" t="n"/>
      <c r="C420" s="6">
        <f>IFERROR(VLOOKUP($B420,Company_Cat!$B$2:$H$623,6,FALSE),"")</f>
        <v/>
      </c>
    </row>
    <row r="421">
      <c r="A421" s="6">
        <f>IFERROR(VLOOKUP($B421,Company_Cat!$B$2:$E$623,2,FALSE),"")</f>
        <v/>
      </c>
      <c r="B421" s="4" t="n"/>
      <c r="C421" s="6">
        <f>IFERROR(VLOOKUP($B421,Company_Cat!$B$2:$H$623,6,FALSE),"")</f>
        <v/>
      </c>
    </row>
    <row r="422">
      <c r="A422" s="6">
        <f>IFERROR(VLOOKUP($B422,Company_Cat!$B$2:$E$623,2,FALSE),"")</f>
        <v/>
      </c>
      <c r="B422" s="4" t="n"/>
      <c r="C422" s="6">
        <f>IFERROR(VLOOKUP($B422,Company_Cat!$B$2:$H$623,6,FALSE),"")</f>
        <v/>
      </c>
    </row>
    <row r="423">
      <c r="A423" s="6">
        <f>IFERROR(VLOOKUP($B423,Company_Cat!$B$2:$E$623,2,FALSE),"")</f>
        <v/>
      </c>
      <c r="B423" s="4" t="n"/>
      <c r="C423" s="6">
        <f>IFERROR(VLOOKUP($B423,Company_Cat!$B$2:$H$623,6,FALSE),"")</f>
        <v/>
      </c>
    </row>
    <row r="424">
      <c r="A424" s="6">
        <f>IFERROR(VLOOKUP($B424,Company_Cat!$B$2:$E$623,2,FALSE),"")</f>
        <v/>
      </c>
      <c r="B424" s="4" t="n"/>
      <c r="C424" s="6">
        <f>IFERROR(VLOOKUP($B424,Company_Cat!$B$2:$H$623,6,FALSE),"")</f>
        <v/>
      </c>
    </row>
    <row r="425">
      <c r="A425" s="6">
        <f>IFERROR(VLOOKUP($B425,Company_Cat!$B$2:$E$623,2,FALSE),"")</f>
        <v/>
      </c>
      <c r="B425" s="4" t="n"/>
      <c r="C425" s="6">
        <f>IFERROR(VLOOKUP($B425,Company_Cat!$B$2:$H$623,6,FALSE),"")</f>
        <v/>
      </c>
    </row>
    <row r="426">
      <c r="A426" s="6">
        <f>IFERROR(VLOOKUP($B426,Company_Cat!$B$2:$E$623,2,FALSE),"")</f>
        <v/>
      </c>
      <c r="B426" s="4" t="n"/>
      <c r="C426" s="6">
        <f>IFERROR(VLOOKUP($B426,Company_Cat!$B$2:$H$623,6,FALSE),"")</f>
        <v/>
      </c>
    </row>
    <row r="427">
      <c r="A427" s="6">
        <f>IFERROR(VLOOKUP($B427,Company_Cat!$B$2:$E$623,2,FALSE),"")</f>
        <v/>
      </c>
      <c r="B427" s="4" t="n"/>
      <c r="C427" s="6">
        <f>IFERROR(VLOOKUP($B427,Company_Cat!$B$2:$H$623,6,FALSE),"")</f>
        <v/>
      </c>
    </row>
    <row r="428">
      <c r="A428" s="6">
        <f>IFERROR(VLOOKUP($B428,Company_Cat!$B$2:$E$623,2,FALSE),"")</f>
        <v/>
      </c>
      <c r="B428" s="4" t="n"/>
      <c r="C428" s="6">
        <f>IFERROR(VLOOKUP($B428,Company_Cat!$B$2:$H$623,6,FALSE),"")</f>
        <v/>
      </c>
    </row>
    <row r="429">
      <c r="A429" s="6">
        <f>IFERROR(VLOOKUP($B429,Company_Cat!$B$2:$E$623,2,FALSE),"")</f>
        <v/>
      </c>
      <c r="B429" s="4" t="n"/>
      <c r="C429" s="6">
        <f>IFERROR(VLOOKUP($B429,Company_Cat!$B$2:$H$623,6,FALSE),"")</f>
        <v/>
      </c>
    </row>
    <row r="430">
      <c r="A430" s="6">
        <f>IFERROR(VLOOKUP($B430,Company_Cat!$B$2:$E$623,2,FALSE),"")</f>
        <v/>
      </c>
      <c r="B430" s="4" t="n"/>
      <c r="C430" s="6">
        <f>IFERROR(VLOOKUP($B430,Company_Cat!$B$2:$H$623,6,FALSE),"")</f>
        <v/>
      </c>
    </row>
    <row r="431">
      <c r="A431" s="6">
        <f>IFERROR(VLOOKUP($B431,Company_Cat!$B$2:$E$623,2,FALSE),"")</f>
        <v/>
      </c>
      <c r="B431" s="4" t="n"/>
      <c r="C431" s="6">
        <f>IFERROR(VLOOKUP($B431,Company_Cat!$B$2:$H$623,6,FALSE),"")</f>
        <v/>
      </c>
    </row>
    <row r="432">
      <c r="A432" s="6">
        <f>IFERROR(VLOOKUP($B432,Company_Cat!$B$2:$E$623,2,FALSE),"")</f>
        <v/>
      </c>
      <c r="B432" s="4" t="n"/>
      <c r="C432" s="6">
        <f>IFERROR(VLOOKUP($B432,Company_Cat!$B$2:$H$623,6,FALSE),"")</f>
        <v/>
      </c>
    </row>
    <row r="433">
      <c r="A433" s="6">
        <f>IFERROR(VLOOKUP($B433,Company_Cat!$B$2:$E$623,2,FALSE),"")</f>
        <v/>
      </c>
      <c r="B433" s="4" t="n"/>
      <c r="C433" s="6">
        <f>IFERROR(VLOOKUP($B433,Company_Cat!$B$2:$H$623,6,FALSE),"")</f>
        <v/>
      </c>
    </row>
    <row r="434">
      <c r="A434" s="6">
        <f>IFERROR(VLOOKUP($B434,Company_Cat!$B$2:$E$623,2,FALSE),"")</f>
        <v/>
      </c>
      <c r="B434" s="4" t="n"/>
      <c r="C434" s="6">
        <f>IFERROR(VLOOKUP($B434,Company_Cat!$B$2:$H$623,6,FALSE),"")</f>
        <v/>
      </c>
    </row>
    <row r="435">
      <c r="A435" s="6">
        <f>IFERROR(VLOOKUP($B435,Company_Cat!$B$2:$E$623,2,FALSE),"")</f>
        <v/>
      </c>
      <c r="B435" s="4" t="n"/>
      <c r="C435" s="6">
        <f>IFERROR(VLOOKUP($B435,Company_Cat!$B$2:$H$623,6,FALSE),"")</f>
        <v/>
      </c>
    </row>
    <row r="436">
      <c r="A436" s="6">
        <f>IFERROR(VLOOKUP($B436,Company_Cat!$B$2:$E$623,2,FALSE),"")</f>
        <v/>
      </c>
      <c r="B436" s="4" t="n"/>
      <c r="C436" s="6">
        <f>IFERROR(VLOOKUP($B436,Company_Cat!$B$2:$H$623,6,FALSE),"")</f>
        <v/>
      </c>
    </row>
    <row r="437">
      <c r="A437" s="6">
        <f>IFERROR(VLOOKUP($B437,Company_Cat!$B$2:$E$623,2,FALSE),"")</f>
        <v/>
      </c>
      <c r="B437" s="4" t="n"/>
      <c r="C437" s="6">
        <f>IFERROR(VLOOKUP($B437,Company_Cat!$B$2:$H$623,6,FALSE),"")</f>
        <v/>
      </c>
    </row>
    <row r="438">
      <c r="A438" s="6">
        <f>IFERROR(VLOOKUP($B438,Company_Cat!$B$2:$E$623,2,FALSE),"")</f>
        <v/>
      </c>
      <c r="B438" s="4" t="n"/>
      <c r="C438" s="6">
        <f>IFERROR(VLOOKUP($B438,Company_Cat!$B$2:$H$623,6,FALSE),"")</f>
        <v/>
      </c>
    </row>
    <row r="439">
      <c r="A439" s="6">
        <f>IFERROR(VLOOKUP($B439,Company_Cat!$B$2:$E$623,2,FALSE),"")</f>
        <v/>
      </c>
      <c r="B439" s="4" t="n"/>
      <c r="C439" s="6">
        <f>IFERROR(VLOOKUP($B439,Company_Cat!$B$2:$H$623,6,FALSE),"")</f>
        <v/>
      </c>
    </row>
    <row r="440">
      <c r="A440" s="6">
        <f>IFERROR(VLOOKUP($B440,Company_Cat!$B$2:$E$623,2,FALSE),"")</f>
        <v/>
      </c>
      <c r="B440" s="4" t="n"/>
      <c r="C440" s="6">
        <f>IFERROR(VLOOKUP($B440,Company_Cat!$B$2:$H$623,6,FALSE),"")</f>
        <v/>
      </c>
    </row>
    <row r="441">
      <c r="A441" s="6">
        <f>IFERROR(VLOOKUP($B441,Company_Cat!$B$2:$E$623,2,FALSE),"")</f>
        <v/>
      </c>
      <c r="B441" s="4" t="n"/>
      <c r="C441" s="6">
        <f>IFERROR(VLOOKUP($B441,Company_Cat!$B$2:$H$623,6,FALSE),"")</f>
        <v/>
      </c>
    </row>
    <row r="442">
      <c r="A442" s="6">
        <f>IFERROR(VLOOKUP($B442,Company_Cat!$B$2:$E$623,2,FALSE),"")</f>
        <v/>
      </c>
      <c r="B442" s="4" t="n"/>
      <c r="C442" s="6">
        <f>IFERROR(VLOOKUP($B442,Company_Cat!$B$2:$H$623,6,FALSE),"")</f>
        <v/>
      </c>
    </row>
    <row r="443">
      <c r="A443" s="6">
        <f>IFERROR(VLOOKUP($B443,Company_Cat!$B$2:$E$623,2,FALSE),"")</f>
        <v/>
      </c>
      <c r="B443" s="4" t="n"/>
      <c r="C443" s="6">
        <f>IFERROR(VLOOKUP($B443,Company_Cat!$B$2:$H$623,6,FALSE),"")</f>
        <v/>
      </c>
    </row>
    <row r="444">
      <c r="A444" s="6">
        <f>IFERROR(VLOOKUP($B444,Company_Cat!$B$2:$E$623,2,FALSE),"")</f>
        <v/>
      </c>
      <c r="B444" s="4" t="n"/>
      <c r="C444" s="6">
        <f>IFERROR(VLOOKUP($B444,Company_Cat!$B$2:$H$623,6,FALSE),"")</f>
        <v/>
      </c>
    </row>
    <row r="445">
      <c r="A445" s="6">
        <f>IFERROR(VLOOKUP($B445,Company_Cat!$B$2:$E$623,2,FALSE),"")</f>
        <v/>
      </c>
      <c r="B445" s="4" t="n"/>
      <c r="C445" s="6">
        <f>IFERROR(VLOOKUP($B445,Company_Cat!$B$2:$H$623,6,FALSE),"")</f>
        <v/>
      </c>
    </row>
    <row r="446">
      <c r="A446" s="6">
        <f>IFERROR(VLOOKUP($B446,Company_Cat!$B$2:$E$623,2,FALSE),"")</f>
        <v/>
      </c>
      <c r="B446" s="4" t="n"/>
      <c r="C446" s="6">
        <f>IFERROR(VLOOKUP($B446,Company_Cat!$B$2:$H$623,6,FALSE),"")</f>
        <v/>
      </c>
    </row>
    <row r="447">
      <c r="A447" s="6">
        <f>IFERROR(VLOOKUP($B447,Company_Cat!$B$2:$E$623,2,FALSE),"")</f>
        <v/>
      </c>
      <c r="B447" s="4" t="n"/>
      <c r="C447" s="6">
        <f>IFERROR(VLOOKUP($B447,Company_Cat!$B$2:$H$623,6,FALSE),"")</f>
        <v/>
      </c>
    </row>
    <row r="448">
      <c r="A448" s="6">
        <f>IFERROR(VLOOKUP($B448,Company_Cat!$B$2:$E$623,2,FALSE),"")</f>
        <v/>
      </c>
      <c r="B448" s="4" t="n"/>
      <c r="C448" s="6">
        <f>IFERROR(VLOOKUP($B448,Company_Cat!$B$2:$H$623,6,FALSE),"")</f>
        <v/>
      </c>
    </row>
    <row r="449">
      <c r="A449" s="6">
        <f>IFERROR(VLOOKUP($B449,Company_Cat!$B$2:$E$623,2,FALSE),"")</f>
        <v/>
      </c>
      <c r="B449" s="4" t="n"/>
      <c r="C449" s="6">
        <f>IFERROR(VLOOKUP($B449,Company_Cat!$B$2:$H$623,6,FALSE),"")</f>
        <v/>
      </c>
    </row>
    <row r="450">
      <c r="A450" s="6">
        <f>IFERROR(VLOOKUP($B450,Company_Cat!$B$2:$E$623,2,FALSE),"")</f>
        <v/>
      </c>
      <c r="B450" s="4" t="n"/>
      <c r="C450" s="6">
        <f>IFERROR(VLOOKUP($B450,Company_Cat!$B$2:$H$623,6,FALSE),"")</f>
        <v/>
      </c>
    </row>
    <row r="451">
      <c r="A451" s="6">
        <f>IFERROR(VLOOKUP($B451,Company_Cat!$B$2:$E$623,2,FALSE),"")</f>
        <v/>
      </c>
      <c r="B451" s="4" t="n"/>
      <c r="C451" s="6">
        <f>IFERROR(VLOOKUP($B451,Company_Cat!$B$2:$H$623,6,FALSE),"")</f>
        <v/>
      </c>
    </row>
    <row r="452">
      <c r="A452" s="6">
        <f>IFERROR(VLOOKUP($B452,Company_Cat!$B$2:$E$623,2,FALSE),"")</f>
        <v/>
      </c>
      <c r="B452" s="4" t="n"/>
      <c r="C452" s="6">
        <f>IFERROR(VLOOKUP($B452,Company_Cat!$B$2:$H$623,6,FALSE),"")</f>
        <v/>
      </c>
    </row>
    <row r="453">
      <c r="A453" s="6">
        <f>IFERROR(VLOOKUP($B453,Company_Cat!$B$2:$E$623,2,FALSE),"")</f>
        <v/>
      </c>
      <c r="B453" s="4" t="n"/>
      <c r="C453" s="6">
        <f>IFERROR(VLOOKUP($B453,Company_Cat!$B$2:$H$623,6,FALSE),"")</f>
        <v/>
      </c>
    </row>
    <row r="454">
      <c r="A454" s="6">
        <f>IFERROR(VLOOKUP($B454,Company_Cat!$B$2:$E$623,2,FALSE),"")</f>
        <v/>
      </c>
      <c r="B454" s="4" t="n"/>
      <c r="C454" s="6">
        <f>IFERROR(VLOOKUP($B454,Company_Cat!$B$2:$H$623,6,FALSE),"")</f>
        <v/>
      </c>
    </row>
    <row r="455">
      <c r="A455" s="6">
        <f>IFERROR(VLOOKUP($B455,Company_Cat!$B$2:$E$623,2,FALSE),"")</f>
        <v/>
      </c>
      <c r="B455" s="4" t="n"/>
      <c r="C455" s="6">
        <f>IFERROR(VLOOKUP($B455,Company_Cat!$B$2:$H$623,6,FALSE),"")</f>
        <v/>
      </c>
    </row>
    <row r="456">
      <c r="A456" s="6">
        <f>IFERROR(VLOOKUP($B456,Company_Cat!$B$2:$E$623,2,FALSE),"")</f>
        <v/>
      </c>
      <c r="B456" s="4" t="n"/>
      <c r="C456" s="6">
        <f>IFERROR(VLOOKUP($B456,Company_Cat!$B$2:$H$623,6,FALSE),"")</f>
        <v/>
      </c>
    </row>
    <row r="457">
      <c r="A457" s="6">
        <f>IFERROR(VLOOKUP($B457,Company_Cat!$B$2:$E$623,2,FALSE),"")</f>
        <v/>
      </c>
      <c r="B457" s="4" t="n"/>
      <c r="C457" s="6">
        <f>IFERROR(VLOOKUP($B457,Company_Cat!$B$2:$H$623,6,FALSE),"")</f>
        <v/>
      </c>
    </row>
    <row r="458">
      <c r="A458" s="6">
        <f>IFERROR(VLOOKUP($B458,Company_Cat!$B$2:$E$623,2,FALSE),"")</f>
        <v/>
      </c>
      <c r="B458" s="4" t="n"/>
      <c r="C458" s="6">
        <f>IFERROR(VLOOKUP($B458,Company_Cat!$B$2:$H$623,6,FALSE),"")</f>
        <v/>
      </c>
    </row>
    <row r="459">
      <c r="A459" s="6">
        <f>IFERROR(VLOOKUP($B459,Company_Cat!$B$2:$E$623,2,FALSE),"")</f>
        <v/>
      </c>
      <c r="B459" s="4" t="n"/>
      <c r="C459" s="6">
        <f>IFERROR(VLOOKUP($B459,Company_Cat!$B$2:$H$623,6,FALSE),"")</f>
        <v/>
      </c>
    </row>
    <row r="460">
      <c r="A460" s="6">
        <f>IFERROR(VLOOKUP($B460,Company_Cat!$B$2:$E$623,2,FALSE),"")</f>
        <v/>
      </c>
      <c r="B460" s="4" t="n"/>
      <c r="C460" s="6">
        <f>IFERROR(VLOOKUP($B460,Company_Cat!$B$2:$H$623,6,FALSE),"")</f>
        <v/>
      </c>
    </row>
    <row r="461">
      <c r="A461" s="6">
        <f>IFERROR(VLOOKUP($B461,Company_Cat!$B$2:$E$623,2,FALSE),"")</f>
        <v/>
      </c>
      <c r="B461" s="4" t="n"/>
      <c r="C461" s="6">
        <f>IFERROR(VLOOKUP($B461,Company_Cat!$B$2:$H$623,6,FALSE),"")</f>
        <v/>
      </c>
    </row>
    <row r="462">
      <c r="A462" s="6">
        <f>IFERROR(VLOOKUP($B462,Company_Cat!$B$2:$E$623,2,FALSE),"")</f>
        <v/>
      </c>
      <c r="B462" s="4" t="n"/>
      <c r="C462" s="6">
        <f>IFERROR(VLOOKUP($B462,Company_Cat!$B$2:$H$623,6,FALSE),"")</f>
        <v/>
      </c>
    </row>
    <row r="463">
      <c r="A463" s="6">
        <f>IFERROR(VLOOKUP($B463,Company_Cat!$B$2:$E$623,2,FALSE),"")</f>
        <v/>
      </c>
      <c r="B463" s="4" t="n"/>
      <c r="C463" s="6">
        <f>IFERROR(VLOOKUP($B463,Company_Cat!$B$2:$H$623,6,FALSE),"")</f>
        <v/>
      </c>
    </row>
    <row r="464">
      <c r="A464" s="6">
        <f>IFERROR(VLOOKUP($B464,Company_Cat!$B$2:$E$623,2,FALSE),"")</f>
        <v/>
      </c>
      <c r="B464" s="4" t="n"/>
      <c r="C464" s="6">
        <f>IFERROR(VLOOKUP($B464,Company_Cat!$B$2:$H$623,6,FALSE),"")</f>
        <v/>
      </c>
    </row>
    <row r="465">
      <c r="A465" s="6">
        <f>IFERROR(VLOOKUP($B465,Company_Cat!$B$2:$E$623,2,FALSE),"")</f>
        <v/>
      </c>
      <c r="B465" s="4" t="n"/>
      <c r="C465" s="6">
        <f>IFERROR(VLOOKUP($B465,Company_Cat!$B$2:$H$623,6,FALSE),"")</f>
        <v/>
      </c>
    </row>
    <row r="466">
      <c r="A466" s="6">
        <f>IFERROR(VLOOKUP($B466,Company_Cat!$B$2:$E$623,2,FALSE),"")</f>
        <v/>
      </c>
      <c r="B466" s="4" t="n"/>
      <c r="C466" s="6">
        <f>IFERROR(VLOOKUP($B466,Company_Cat!$B$2:$H$623,6,FALSE),"")</f>
        <v/>
      </c>
    </row>
    <row r="467">
      <c r="A467" s="6">
        <f>IFERROR(VLOOKUP($B467,Company_Cat!$B$2:$E$623,2,FALSE),"")</f>
        <v/>
      </c>
      <c r="B467" s="4" t="n"/>
      <c r="C467" s="6">
        <f>IFERROR(VLOOKUP($B467,Company_Cat!$B$2:$H$623,6,FALSE),"")</f>
        <v/>
      </c>
    </row>
    <row r="468">
      <c r="A468" s="6">
        <f>IFERROR(VLOOKUP($B468,Company_Cat!$B$2:$E$623,2,FALSE),"")</f>
        <v/>
      </c>
      <c r="B468" s="4" t="n"/>
      <c r="C468" s="6">
        <f>IFERROR(VLOOKUP($B468,Company_Cat!$B$2:$H$623,6,FALSE),"")</f>
        <v/>
      </c>
    </row>
    <row r="469">
      <c r="A469" s="6">
        <f>IFERROR(VLOOKUP($B469,Company_Cat!$B$2:$E$623,2,FALSE),"")</f>
        <v/>
      </c>
      <c r="B469" s="4" t="n"/>
      <c r="C469" s="6">
        <f>IFERROR(VLOOKUP($B469,Company_Cat!$B$2:$H$623,6,FALSE),"")</f>
        <v/>
      </c>
    </row>
    <row r="470">
      <c r="A470" s="6">
        <f>IFERROR(VLOOKUP($B470,Company_Cat!$B$2:$E$623,2,FALSE),"")</f>
        <v/>
      </c>
      <c r="B470" s="4" t="n"/>
      <c r="C470" s="6">
        <f>IFERROR(VLOOKUP($B470,Company_Cat!$B$2:$H$623,6,FALSE),"")</f>
        <v/>
      </c>
    </row>
    <row r="471">
      <c r="A471" s="6">
        <f>IFERROR(VLOOKUP($B471,Company_Cat!$B$2:$E$623,2,FALSE),"")</f>
        <v/>
      </c>
      <c r="B471" s="4" t="n"/>
      <c r="C471" s="6">
        <f>IFERROR(VLOOKUP($B471,Company_Cat!$B$2:$H$623,6,FALSE),"")</f>
        <v/>
      </c>
    </row>
    <row r="472">
      <c r="A472" s="6">
        <f>IFERROR(VLOOKUP($B472,Company_Cat!$B$2:$E$623,2,FALSE),"")</f>
        <v/>
      </c>
      <c r="B472" s="4" t="n"/>
      <c r="C472" s="6">
        <f>IFERROR(VLOOKUP($B472,Company_Cat!$B$2:$H$623,6,FALSE),"")</f>
        <v/>
      </c>
    </row>
    <row r="473">
      <c r="A473" s="6">
        <f>IFERROR(VLOOKUP($B473,Company_Cat!$B$2:$E$623,2,FALSE),"")</f>
        <v/>
      </c>
      <c r="B473" s="4" t="n"/>
      <c r="C473" s="6">
        <f>IFERROR(VLOOKUP($B473,Company_Cat!$B$2:$H$623,6,FALSE),"")</f>
        <v/>
      </c>
    </row>
    <row r="474">
      <c r="A474" s="6">
        <f>IFERROR(VLOOKUP($B474,Company_Cat!$B$2:$E$623,2,FALSE),"")</f>
        <v/>
      </c>
      <c r="B474" s="4" t="n"/>
      <c r="C474" s="6">
        <f>IFERROR(VLOOKUP($B474,Company_Cat!$B$2:$H$623,6,FALSE),"")</f>
        <v/>
      </c>
    </row>
    <row r="475">
      <c r="A475" s="6">
        <f>IFERROR(VLOOKUP($B475,Company_Cat!$B$2:$E$623,2,FALSE),"")</f>
        <v/>
      </c>
      <c r="B475" s="4" t="n"/>
      <c r="C475" s="6">
        <f>IFERROR(VLOOKUP($B475,Company_Cat!$B$2:$H$623,6,FALSE),"")</f>
        <v/>
      </c>
    </row>
    <row r="476">
      <c r="A476" s="6">
        <f>IFERROR(VLOOKUP($B476,Company_Cat!$B$2:$E$623,2,FALSE),"")</f>
        <v/>
      </c>
      <c r="B476" s="4" t="n"/>
      <c r="C476" s="6">
        <f>IFERROR(VLOOKUP($B476,Company_Cat!$B$2:$H$623,6,FALSE),"")</f>
        <v/>
      </c>
    </row>
    <row r="477">
      <c r="A477" s="6">
        <f>IFERROR(VLOOKUP($B477,Company_Cat!$B$2:$E$623,2,FALSE),"")</f>
        <v/>
      </c>
      <c r="B477" s="4" t="n"/>
      <c r="C477" s="6">
        <f>IFERROR(VLOOKUP($B477,Company_Cat!$B$2:$H$623,6,FALSE),"")</f>
        <v/>
      </c>
    </row>
    <row r="478">
      <c r="A478" s="6">
        <f>IFERROR(VLOOKUP($B478,Company_Cat!$B$2:$E$623,2,FALSE),"")</f>
        <v/>
      </c>
      <c r="B478" s="4" t="n"/>
      <c r="C478" s="6">
        <f>IFERROR(VLOOKUP($B478,Company_Cat!$B$2:$H$623,6,FALSE),"")</f>
        <v/>
      </c>
    </row>
    <row r="479">
      <c r="A479" s="6">
        <f>IFERROR(VLOOKUP($B479,Company_Cat!$B$2:$E$623,2,FALSE),"")</f>
        <v/>
      </c>
      <c r="B479" s="4" t="n"/>
      <c r="C479" s="6">
        <f>IFERROR(VLOOKUP($B479,Company_Cat!$B$2:$H$623,6,FALSE),"")</f>
        <v/>
      </c>
    </row>
    <row r="480">
      <c r="A480" s="6">
        <f>IFERROR(VLOOKUP($B480,Company_Cat!$B$2:$E$623,2,FALSE),"")</f>
        <v/>
      </c>
      <c r="B480" s="4" t="n"/>
      <c r="C480" s="6">
        <f>IFERROR(VLOOKUP($B480,Company_Cat!$B$2:$H$623,6,FALSE),"")</f>
        <v/>
      </c>
    </row>
    <row r="481">
      <c r="A481" s="6">
        <f>IFERROR(VLOOKUP($B481,Company_Cat!$B$2:$E$623,2,FALSE),"")</f>
        <v/>
      </c>
      <c r="B481" s="4" t="n"/>
      <c r="C481" s="6">
        <f>IFERROR(VLOOKUP($B481,Company_Cat!$B$2:$H$623,6,FALSE),"")</f>
        <v/>
      </c>
    </row>
    <row r="482">
      <c r="A482" s="6">
        <f>IFERROR(VLOOKUP($B482,Company_Cat!$B$2:$E$623,2,FALSE),"")</f>
        <v/>
      </c>
      <c r="B482" s="4" t="n"/>
      <c r="C482" s="6">
        <f>IFERROR(VLOOKUP($B482,Company_Cat!$B$2:$H$623,6,FALSE),"")</f>
        <v/>
      </c>
    </row>
    <row r="483">
      <c r="A483" s="6">
        <f>IFERROR(VLOOKUP($B483,Company_Cat!$B$2:$E$623,2,FALSE),"")</f>
        <v/>
      </c>
      <c r="B483" s="4" t="n"/>
      <c r="C483" s="6">
        <f>IFERROR(VLOOKUP($B483,Company_Cat!$B$2:$H$623,6,FALSE),"")</f>
        <v/>
      </c>
    </row>
    <row r="484">
      <c r="A484" s="6">
        <f>IFERROR(VLOOKUP($B484,Company_Cat!$B$2:$E$623,2,FALSE),"")</f>
        <v/>
      </c>
      <c r="B484" s="4" t="n"/>
      <c r="C484" s="6">
        <f>IFERROR(VLOOKUP($B484,Company_Cat!$B$2:$H$623,6,FALSE),"")</f>
        <v/>
      </c>
    </row>
    <row r="485">
      <c r="A485" s="6">
        <f>IFERROR(VLOOKUP($B485,Company_Cat!$B$2:$E$623,2,FALSE),"")</f>
        <v/>
      </c>
      <c r="B485" s="4" t="n"/>
      <c r="C485" s="6">
        <f>IFERROR(VLOOKUP($B485,Company_Cat!$B$2:$H$623,6,FALSE),"")</f>
        <v/>
      </c>
    </row>
    <row r="486">
      <c r="A486" s="6">
        <f>IFERROR(VLOOKUP($B486,Company_Cat!$B$2:$E$623,2,FALSE),"")</f>
        <v/>
      </c>
      <c r="B486" s="4" t="n"/>
      <c r="C486" s="6">
        <f>IFERROR(VLOOKUP($B486,Company_Cat!$B$2:$H$623,6,FALSE),"")</f>
        <v/>
      </c>
    </row>
    <row r="487">
      <c r="A487" s="6">
        <f>IFERROR(VLOOKUP($B487,Company_Cat!$B$2:$E$623,2,FALSE),"")</f>
        <v/>
      </c>
      <c r="B487" s="4" t="n"/>
      <c r="C487" s="6">
        <f>IFERROR(VLOOKUP($B487,Company_Cat!$B$2:$H$623,6,FALSE),"")</f>
        <v/>
      </c>
    </row>
    <row r="488">
      <c r="A488" s="6">
        <f>IFERROR(VLOOKUP($B488,Company_Cat!$B$2:$E$623,2,FALSE),"")</f>
        <v/>
      </c>
      <c r="B488" s="4" t="n"/>
      <c r="C488" s="6">
        <f>IFERROR(VLOOKUP($B488,Company_Cat!$B$2:$H$623,6,FALSE),"")</f>
        <v/>
      </c>
    </row>
    <row r="489">
      <c r="A489" s="6">
        <f>IFERROR(VLOOKUP($B489,Company_Cat!$B$2:$E$623,2,FALSE),"")</f>
        <v/>
      </c>
      <c r="B489" s="4" t="n"/>
      <c r="C489" s="6">
        <f>IFERROR(VLOOKUP($B489,Company_Cat!$B$2:$H$623,6,FALSE),"")</f>
        <v/>
      </c>
    </row>
    <row r="490">
      <c r="A490" s="6">
        <f>IFERROR(VLOOKUP($B490,Company_Cat!$B$2:$E$623,2,FALSE),"")</f>
        <v/>
      </c>
      <c r="B490" s="4" t="n"/>
      <c r="C490" s="6">
        <f>IFERROR(VLOOKUP($B490,Company_Cat!$B$2:$H$623,6,FALSE),"")</f>
        <v/>
      </c>
    </row>
    <row r="491">
      <c r="A491" s="6">
        <f>IFERROR(VLOOKUP($B491,Company_Cat!$B$2:$E$623,2,FALSE),"")</f>
        <v/>
      </c>
      <c r="B491" s="4" t="n"/>
      <c r="C491" s="6">
        <f>IFERROR(VLOOKUP($B491,Company_Cat!$B$2:$H$623,6,FALSE),"")</f>
        <v/>
      </c>
    </row>
    <row r="492">
      <c r="A492" s="6">
        <f>IFERROR(VLOOKUP($B492,Company_Cat!$B$2:$E$623,2,FALSE),"")</f>
        <v/>
      </c>
      <c r="B492" s="4" t="n"/>
      <c r="C492" s="6">
        <f>IFERROR(VLOOKUP($B492,Company_Cat!$B$2:$H$623,6,FALSE),"")</f>
        <v/>
      </c>
    </row>
    <row r="493">
      <c r="A493" s="6">
        <f>IFERROR(VLOOKUP($B493,Company_Cat!$B$2:$E$623,2,FALSE),"")</f>
        <v/>
      </c>
      <c r="B493" s="4" t="n"/>
      <c r="C493" s="6">
        <f>IFERROR(VLOOKUP($B493,Company_Cat!$B$2:$H$623,6,FALSE),"")</f>
        <v/>
      </c>
    </row>
    <row r="494">
      <c r="A494" s="6">
        <f>IFERROR(VLOOKUP($B494,Company_Cat!$B$2:$E$623,2,FALSE),"")</f>
        <v/>
      </c>
      <c r="B494" s="4" t="n"/>
      <c r="C494" s="6">
        <f>IFERROR(VLOOKUP($B494,Company_Cat!$B$2:$H$623,6,FALSE),"")</f>
        <v/>
      </c>
    </row>
    <row r="495">
      <c r="A495" s="6">
        <f>IFERROR(VLOOKUP($B495,Company_Cat!$B$2:$E$623,2,FALSE),"")</f>
        <v/>
      </c>
      <c r="B495" s="4" t="n"/>
      <c r="C495" s="6">
        <f>IFERROR(VLOOKUP($B495,Company_Cat!$B$2:$H$623,6,FALSE),"")</f>
        <v/>
      </c>
    </row>
    <row r="496">
      <c r="A496" s="6">
        <f>IFERROR(VLOOKUP($B496,Company_Cat!$B$2:$E$623,2,FALSE),"")</f>
        <v/>
      </c>
      <c r="B496" s="4" t="n"/>
      <c r="C496" s="6">
        <f>IFERROR(VLOOKUP($B496,Company_Cat!$B$2:$H$623,6,FALSE),"")</f>
        <v/>
      </c>
    </row>
    <row r="497">
      <c r="A497" s="6">
        <f>IFERROR(VLOOKUP($B497,Company_Cat!$B$2:$E$623,2,FALSE),"")</f>
        <v/>
      </c>
      <c r="B497" s="4" t="n"/>
      <c r="C497" s="6">
        <f>IFERROR(VLOOKUP($B497,Company_Cat!$B$2:$H$623,6,FALSE),"")</f>
        <v/>
      </c>
    </row>
    <row r="498">
      <c r="A498" s="6">
        <f>IFERROR(VLOOKUP($B498,Company_Cat!$B$2:$E$623,2,FALSE),"")</f>
        <v/>
      </c>
      <c r="B498" s="4" t="n"/>
      <c r="C498" s="6">
        <f>IFERROR(VLOOKUP($B498,Company_Cat!$B$2:$H$623,6,FALSE),"")</f>
        <v/>
      </c>
    </row>
    <row r="499">
      <c r="A499" s="6">
        <f>IFERROR(VLOOKUP($B499,Company_Cat!$B$2:$E$623,2,FALSE),"")</f>
        <v/>
      </c>
      <c r="B499" s="4" t="n"/>
      <c r="C499" s="6">
        <f>IFERROR(VLOOKUP($B499,Company_Cat!$B$2:$H$623,6,FALSE),"")</f>
        <v/>
      </c>
    </row>
    <row r="500">
      <c r="A500" s="6">
        <f>IFERROR(VLOOKUP($B500,Company_Cat!$B$2:$E$623,2,FALSE),"")</f>
        <v/>
      </c>
      <c r="B500" s="4" t="n"/>
      <c r="C500" s="6">
        <f>IFERROR(VLOOKUP($B500,Company_Cat!$B$2:$H$623,6,FALSE),"")</f>
        <v/>
      </c>
    </row>
    <row r="501">
      <c r="A501" s="6">
        <f>IFERROR(VLOOKUP($B501,Company_Cat!$B$2:$E$623,2,FALSE),"")</f>
        <v/>
      </c>
      <c r="B501" s="4" t="n"/>
      <c r="C501" s="6">
        <f>IFERROR(VLOOKUP($B501,Company_Cat!$B$2:$H$623,6,FALSE),"")</f>
        <v/>
      </c>
    </row>
    <row r="502">
      <c r="A502" s="6">
        <f>IFERROR(VLOOKUP($B502,Company_Cat!$B$2:$E$623,2,FALSE),"")</f>
        <v/>
      </c>
      <c r="B502" s="4" t="n"/>
      <c r="C502" s="6">
        <f>IFERROR(VLOOKUP($B502,Company_Cat!$B$2:$H$623,6,FALSE),"")</f>
        <v/>
      </c>
    </row>
    <row r="503">
      <c r="A503" s="6">
        <f>IFERROR(VLOOKUP($B503,Company_Cat!$B$2:$E$623,2,FALSE),"")</f>
        <v/>
      </c>
      <c r="B503" s="4" t="n"/>
      <c r="C503" s="6">
        <f>IFERROR(VLOOKUP($B503,Company_Cat!$B$2:$H$623,6,FALSE),"")</f>
        <v/>
      </c>
    </row>
    <row r="504">
      <c r="A504" s="6">
        <f>IFERROR(VLOOKUP($B504,Company_Cat!$B$2:$E$623,2,FALSE),"")</f>
        <v/>
      </c>
      <c r="B504" s="4" t="n"/>
      <c r="C504" s="6">
        <f>IFERROR(VLOOKUP($B504,Company_Cat!$B$2:$H$623,6,FALSE),"")</f>
        <v/>
      </c>
    </row>
    <row r="505">
      <c r="A505" s="6">
        <f>IFERROR(VLOOKUP($B505,Company_Cat!$B$2:$E$623,2,FALSE),"")</f>
        <v/>
      </c>
      <c r="B505" s="4" t="n"/>
      <c r="C505" s="6">
        <f>IFERROR(VLOOKUP($B505,Company_Cat!$B$2:$H$623,6,FALSE),"")</f>
        <v/>
      </c>
    </row>
    <row r="506">
      <c r="A506" s="6">
        <f>IFERROR(VLOOKUP($B506,Company_Cat!$B$2:$E$623,2,FALSE),"")</f>
        <v/>
      </c>
      <c r="B506" s="4" t="n"/>
      <c r="C506" s="6">
        <f>IFERROR(VLOOKUP($B506,Company_Cat!$B$2:$H$623,6,FALSE),"")</f>
        <v/>
      </c>
    </row>
    <row r="507">
      <c r="A507" s="6">
        <f>IFERROR(VLOOKUP($B507,Company_Cat!$B$2:$E$623,2,FALSE),"")</f>
        <v/>
      </c>
      <c r="B507" s="4" t="n"/>
      <c r="C507" s="6">
        <f>IFERROR(VLOOKUP($B507,Company_Cat!$B$2:$H$623,6,FALSE),"")</f>
        <v/>
      </c>
    </row>
    <row r="508">
      <c r="A508" s="6">
        <f>IFERROR(VLOOKUP($B508,Company_Cat!$B$2:$E$623,2,FALSE),"")</f>
        <v/>
      </c>
      <c r="B508" s="4" t="n"/>
      <c r="C508" s="6">
        <f>IFERROR(VLOOKUP($B508,Company_Cat!$B$2:$H$623,6,FALSE),"")</f>
        <v/>
      </c>
    </row>
    <row r="509">
      <c r="A509" s="6">
        <f>IFERROR(VLOOKUP($B509,Company_Cat!$B$2:$E$623,2,FALSE),"")</f>
        <v/>
      </c>
      <c r="B509" s="4" t="n"/>
      <c r="C509" s="6">
        <f>IFERROR(VLOOKUP($B509,Company_Cat!$B$2:$H$623,6,FALSE),"")</f>
        <v/>
      </c>
    </row>
    <row r="510">
      <c r="A510" s="6">
        <f>IFERROR(VLOOKUP($B510,Company_Cat!$B$2:$E$623,2,FALSE),"")</f>
        <v/>
      </c>
      <c r="B510" s="4" t="n"/>
      <c r="C510" s="6">
        <f>IFERROR(VLOOKUP($B510,Company_Cat!$B$2:$H$623,6,FALSE),"")</f>
        <v/>
      </c>
    </row>
    <row r="511">
      <c r="A511" s="6">
        <f>IFERROR(VLOOKUP($B511,Company_Cat!$B$2:$E$623,2,FALSE),"")</f>
        <v/>
      </c>
      <c r="B511" s="4" t="n"/>
      <c r="C511" s="6">
        <f>IFERROR(VLOOKUP($B511,Company_Cat!$B$2:$H$623,6,FALSE),"")</f>
        <v/>
      </c>
    </row>
    <row r="512">
      <c r="A512" s="6">
        <f>IFERROR(VLOOKUP($B512,Company_Cat!$B$2:$E$623,2,FALSE),"")</f>
        <v/>
      </c>
      <c r="B512" s="4" t="n"/>
      <c r="C512" s="6">
        <f>IFERROR(VLOOKUP($B512,Company_Cat!$B$2:$H$623,6,FALSE),"")</f>
        <v/>
      </c>
    </row>
    <row r="513">
      <c r="A513" s="6">
        <f>IFERROR(VLOOKUP($B513,Company_Cat!$B$2:$E$623,2,FALSE),"")</f>
        <v/>
      </c>
      <c r="B513" s="4" t="n"/>
      <c r="C513" s="6">
        <f>IFERROR(VLOOKUP($B513,Company_Cat!$B$2:$H$623,6,FALSE),"")</f>
        <v/>
      </c>
    </row>
    <row r="514">
      <c r="A514" s="6">
        <f>IFERROR(VLOOKUP($B514,Company_Cat!$B$2:$E$623,2,FALSE),"")</f>
        <v/>
      </c>
      <c r="B514" s="4" t="n"/>
      <c r="C514" s="6">
        <f>IFERROR(VLOOKUP($B514,Company_Cat!$B$2:$H$623,6,FALSE),"")</f>
        <v/>
      </c>
    </row>
    <row r="515">
      <c r="A515" s="6">
        <f>IFERROR(VLOOKUP($B515,Company_Cat!$B$2:$E$623,2,FALSE),"")</f>
        <v/>
      </c>
      <c r="B515" s="4" t="n"/>
      <c r="C515" s="6">
        <f>IFERROR(VLOOKUP($B515,Company_Cat!$B$2:$H$623,6,FALSE),"")</f>
        <v/>
      </c>
    </row>
    <row r="516">
      <c r="A516" s="6">
        <f>IFERROR(VLOOKUP($B516,Company_Cat!$B$2:$E$623,2,FALSE),"")</f>
        <v/>
      </c>
      <c r="B516" s="4" t="n"/>
      <c r="C516" s="6">
        <f>IFERROR(VLOOKUP($B516,Company_Cat!$B$2:$H$623,6,FALSE),"")</f>
        <v/>
      </c>
    </row>
    <row r="517">
      <c r="A517" s="6">
        <f>IFERROR(VLOOKUP($B517,Company_Cat!$B$2:$E$623,2,FALSE),"")</f>
        <v/>
      </c>
      <c r="B517" s="4" t="n"/>
      <c r="C517" s="6">
        <f>IFERROR(VLOOKUP($B517,Company_Cat!$B$2:$H$623,6,FALSE),"")</f>
        <v/>
      </c>
    </row>
    <row r="518">
      <c r="A518" s="6">
        <f>IFERROR(VLOOKUP($B518,Company_Cat!$B$2:$E$623,2,FALSE),"")</f>
        <v/>
      </c>
      <c r="B518" s="4" t="n"/>
      <c r="C518" s="6">
        <f>IFERROR(VLOOKUP($B518,Company_Cat!$B$2:$H$623,6,FALSE),"")</f>
        <v/>
      </c>
    </row>
    <row r="519">
      <c r="A519" s="6">
        <f>IFERROR(VLOOKUP($B519,Company_Cat!$B$2:$E$623,2,FALSE),"")</f>
        <v/>
      </c>
      <c r="B519" s="4" t="n"/>
      <c r="C519" s="6">
        <f>IFERROR(VLOOKUP($B519,Company_Cat!$B$2:$H$623,6,FALSE),"")</f>
        <v/>
      </c>
    </row>
    <row r="520">
      <c r="A520" s="6">
        <f>IFERROR(VLOOKUP($B520,Company_Cat!$B$2:$E$623,2,FALSE),"")</f>
        <v/>
      </c>
      <c r="B520" s="4" t="n"/>
      <c r="C520" s="6">
        <f>IFERROR(VLOOKUP($B520,Company_Cat!$B$2:$H$623,6,FALSE),"")</f>
        <v/>
      </c>
    </row>
    <row r="521">
      <c r="A521" s="6">
        <f>IFERROR(VLOOKUP($B521,Company_Cat!$B$2:$E$623,2,FALSE),"")</f>
        <v/>
      </c>
      <c r="B521" s="4" t="n"/>
      <c r="C521" s="6">
        <f>IFERROR(VLOOKUP($B521,Company_Cat!$B$2:$H$623,6,FALSE),"")</f>
        <v/>
      </c>
    </row>
    <row r="522">
      <c r="A522" s="6">
        <f>IFERROR(VLOOKUP($B522,Company_Cat!$B$2:$E$623,2,FALSE),"")</f>
        <v/>
      </c>
      <c r="B522" s="4" t="n"/>
      <c r="C522" s="6">
        <f>IFERROR(VLOOKUP($B522,Company_Cat!$B$2:$H$623,6,FALSE),"")</f>
        <v/>
      </c>
    </row>
    <row r="523">
      <c r="A523" s="6">
        <f>IFERROR(VLOOKUP($B523,Company_Cat!$B$2:$E$623,2,FALSE),"")</f>
        <v/>
      </c>
      <c r="B523" s="4" t="n"/>
      <c r="C523" s="6">
        <f>IFERROR(VLOOKUP($B523,Company_Cat!$B$2:$H$623,6,FALSE),"")</f>
        <v/>
      </c>
    </row>
    <row r="524">
      <c r="A524" s="6">
        <f>IFERROR(VLOOKUP($B524,Company_Cat!$B$2:$E$623,2,FALSE),"")</f>
        <v/>
      </c>
      <c r="B524" s="4" t="n"/>
      <c r="C524" s="6">
        <f>IFERROR(VLOOKUP($B524,Company_Cat!$B$2:$H$623,6,FALSE),"")</f>
        <v/>
      </c>
    </row>
    <row r="525">
      <c r="A525" s="6">
        <f>IFERROR(VLOOKUP($B525,Company_Cat!$B$2:$E$623,2,FALSE),"")</f>
        <v/>
      </c>
      <c r="B525" s="4" t="n"/>
      <c r="C525" s="6">
        <f>IFERROR(VLOOKUP($B525,Company_Cat!$B$2:$H$623,6,FALSE),"")</f>
        <v/>
      </c>
    </row>
    <row r="526">
      <c r="A526" s="6">
        <f>IFERROR(VLOOKUP($B526,Company_Cat!$B$2:$E$623,2,FALSE),"")</f>
        <v/>
      </c>
      <c r="B526" s="4" t="n"/>
      <c r="C526" s="6">
        <f>IFERROR(VLOOKUP($B526,Company_Cat!$B$2:$H$623,6,FALSE),"")</f>
        <v/>
      </c>
    </row>
    <row r="527">
      <c r="A527" s="6">
        <f>IFERROR(VLOOKUP($B527,Company_Cat!$B$2:$E$623,2,FALSE),"")</f>
        <v/>
      </c>
      <c r="B527" s="4" t="n"/>
      <c r="C527" s="6">
        <f>IFERROR(VLOOKUP($B527,Company_Cat!$B$2:$H$623,6,FALSE),"")</f>
        <v/>
      </c>
    </row>
    <row r="528">
      <c r="A528" s="6">
        <f>IFERROR(VLOOKUP($B528,Company_Cat!$B$2:$E$623,2,FALSE),"")</f>
        <v/>
      </c>
      <c r="B528" s="4" t="n"/>
      <c r="C528" s="6">
        <f>IFERROR(VLOOKUP($B528,Company_Cat!$B$2:$H$623,6,FALSE),"")</f>
        <v/>
      </c>
    </row>
    <row r="529">
      <c r="A529" s="6">
        <f>IFERROR(VLOOKUP($B529,Company_Cat!$B$2:$E$623,2,FALSE),"")</f>
        <v/>
      </c>
      <c r="B529" s="4" t="n"/>
      <c r="C529" s="6">
        <f>IFERROR(VLOOKUP($B529,Company_Cat!$B$2:$H$623,6,FALSE),"")</f>
        <v/>
      </c>
    </row>
    <row r="530">
      <c r="A530" s="6">
        <f>IFERROR(VLOOKUP($B530,Company_Cat!$B$2:$E$623,2,FALSE),"")</f>
        <v/>
      </c>
      <c r="B530" s="4" t="n"/>
      <c r="C530" s="6">
        <f>IFERROR(VLOOKUP($B530,Company_Cat!$B$2:$H$623,6,FALSE),"")</f>
        <v/>
      </c>
    </row>
    <row r="531">
      <c r="A531" s="6">
        <f>IFERROR(VLOOKUP($B531,Company_Cat!$B$2:$E$623,2,FALSE),"")</f>
        <v/>
      </c>
      <c r="B531" s="4" t="n"/>
      <c r="C531" s="6">
        <f>IFERROR(VLOOKUP($B531,Company_Cat!$B$2:$H$623,6,FALSE),"")</f>
        <v/>
      </c>
    </row>
    <row r="532">
      <c r="A532" s="6">
        <f>IFERROR(VLOOKUP($B532,Company_Cat!$B$2:$E$623,2,FALSE),"")</f>
        <v/>
      </c>
      <c r="B532" s="4" t="n"/>
      <c r="C532" s="6">
        <f>IFERROR(VLOOKUP($B532,Company_Cat!$B$2:$H$623,6,FALSE),"")</f>
        <v/>
      </c>
    </row>
    <row r="533">
      <c r="A533" s="6">
        <f>IFERROR(VLOOKUP($B533,Company_Cat!$B$2:$E$623,2,FALSE),"")</f>
        <v/>
      </c>
      <c r="B533" s="4" t="n"/>
      <c r="C533" s="6">
        <f>IFERROR(VLOOKUP($B533,Company_Cat!$B$2:$H$623,6,FALSE),"")</f>
        <v/>
      </c>
    </row>
    <row r="534">
      <c r="A534" s="6">
        <f>IFERROR(VLOOKUP($B534,Company_Cat!$B$2:$E$623,2,FALSE),"")</f>
        <v/>
      </c>
      <c r="B534" s="4" t="n"/>
      <c r="C534" s="6">
        <f>IFERROR(VLOOKUP($B534,Company_Cat!$B$2:$H$623,6,FALSE),"")</f>
        <v/>
      </c>
    </row>
    <row r="535">
      <c r="A535" s="6">
        <f>IFERROR(VLOOKUP($B535,Company_Cat!$B$2:$E$623,2,FALSE),"")</f>
        <v/>
      </c>
      <c r="B535" s="4" t="n"/>
      <c r="C535" s="6">
        <f>IFERROR(VLOOKUP($B535,Company_Cat!$B$2:$H$623,6,FALSE),"")</f>
        <v/>
      </c>
    </row>
    <row r="536">
      <c r="A536" s="6">
        <f>IFERROR(VLOOKUP($B536,Company_Cat!$B$2:$E$623,2,FALSE),"")</f>
        <v/>
      </c>
      <c r="B536" s="4" t="n"/>
      <c r="C536" s="6">
        <f>IFERROR(VLOOKUP($B536,Company_Cat!$B$2:$H$623,6,FALSE),"")</f>
        <v/>
      </c>
    </row>
    <row r="537">
      <c r="A537" s="6">
        <f>IFERROR(VLOOKUP($B537,Company_Cat!$B$2:$E$623,2,FALSE),"")</f>
        <v/>
      </c>
      <c r="B537" s="4" t="n"/>
      <c r="C537" s="6">
        <f>IFERROR(VLOOKUP($B537,Company_Cat!$B$2:$H$623,6,FALSE),"")</f>
        <v/>
      </c>
    </row>
    <row r="538">
      <c r="A538" s="6">
        <f>IFERROR(VLOOKUP($B538,Company_Cat!$B$2:$E$623,2,FALSE),"")</f>
        <v/>
      </c>
      <c r="B538" s="4" t="n"/>
      <c r="C538" s="6">
        <f>IFERROR(VLOOKUP($B538,Company_Cat!$B$2:$H$623,6,FALSE),"")</f>
        <v/>
      </c>
    </row>
    <row r="539">
      <c r="A539" s="6">
        <f>IFERROR(VLOOKUP($B539,Company_Cat!$B$2:$E$623,2,FALSE),"")</f>
        <v/>
      </c>
      <c r="B539" s="4" t="n"/>
      <c r="C539" s="6">
        <f>IFERROR(VLOOKUP($B539,Company_Cat!$B$2:$H$623,6,FALSE),"")</f>
        <v/>
      </c>
    </row>
    <row r="540">
      <c r="A540" s="6">
        <f>IFERROR(VLOOKUP($B540,Company_Cat!$B$2:$E$623,2,FALSE),"")</f>
        <v/>
      </c>
      <c r="B540" s="4" t="n"/>
      <c r="C540" s="6">
        <f>IFERROR(VLOOKUP($B540,Company_Cat!$B$2:$H$623,6,FALSE),"")</f>
        <v/>
      </c>
    </row>
    <row r="541">
      <c r="A541" s="6">
        <f>IFERROR(VLOOKUP($B541,Company_Cat!$B$2:$E$623,2,FALSE),"")</f>
        <v/>
      </c>
      <c r="B541" s="4" t="n"/>
      <c r="C541" s="6">
        <f>IFERROR(VLOOKUP($B541,Company_Cat!$B$2:$H$623,6,FALSE),"")</f>
        <v/>
      </c>
    </row>
    <row r="542">
      <c r="A542" s="6">
        <f>IFERROR(VLOOKUP($B542,Company_Cat!$B$2:$E$623,2,FALSE),"")</f>
        <v/>
      </c>
      <c r="B542" s="4" t="n"/>
      <c r="C542" s="6">
        <f>IFERROR(VLOOKUP($B542,Company_Cat!$B$2:$H$623,6,FALSE),"")</f>
        <v/>
      </c>
    </row>
    <row r="543">
      <c r="A543" s="6">
        <f>IFERROR(VLOOKUP($B543,Company_Cat!$B$2:$E$623,2,FALSE),"")</f>
        <v/>
      </c>
      <c r="B543" s="4" t="n"/>
      <c r="C543" s="6">
        <f>IFERROR(VLOOKUP($B543,Company_Cat!$B$2:$H$623,6,FALSE),"")</f>
        <v/>
      </c>
    </row>
    <row r="544">
      <c r="A544" s="6">
        <f>IFERROR(VLOOKUP($B544,Company_Cat!$B$2:$E$623,2,FALSE),"")</f>
        <v/>
      </c>
      <c r="B544" s="4" t="n"/>
      <c r="C544" s="6">
        <f>IFERROR(VLOOKUP($B544,Company_Cat!$B$2:$H$623,6,FALSE),"")</f>
        <v/>
      </c>
    </row>
    <row r="545">
      <c r="A545" s="6">
        <f>IFERROR(VLOOKUP($B545,Company_Cat!$B$2:$E$623,2,FALSE),"")</f>
        <v/>
      </c>
      <c r="B545" s="4" t="n"/>
      <c r="C545" s="6">
        <f>IFERROR(VLOOKUP($B545,Company_Cat!$B$2:$H$623,6,FALSE),"")</f>
        <v/>
      </c>
    </row>
    <row r="546">
      <c r="A546" s="6">
        <f>IFERROR(VLOOKUP($B546,Company_Cat!$B$2:$E$623,2,FALSE),"")</f>
        <v/>
      </c>
      <c r="B546" s="4" t="n"/>
      <c r="C546" s="6">
        <f>IFERROR(VLOOKUP($B546,Company_Cat!$B$2:$H$623,6,FALSE),"")</f>
        <v/>
      </c>
    </row>
    <row r="547">
      <c r="A547" s="6">
        <f>IFERROR(VLOOKUP($B547,Company_Cat!$B$2:$E$623,2,FALSE),"")</f>
        <v/>
      </c>
      <c r="B547" s="4" t="n"/>
      <c r="C547" s="6">
        <f>IFERROR(VLOOKUP($B547,Company_Cat!$B$2:$H$623,6,FALSE),"")</f>
        <v/>
      </c>
    </row>
    <row r="548">
      <c r="A548" s="6">
        <f>IFERROR(VLOOKUP($B548,Company_Cat!$B$2:$E$623,2,FALSE),"")</f>
        <v/>
      </c>
      <c r="B548" s="4" t="n"/>
      <c r="C548" s="6">
        <f>IFERROR(VLOOKUP($B548,Company_Cat!$B$2:$H$623,6,FALSE),"")</f>
        <v/>
      </c>
    </row>
    <row r="549">
      <c r="A549" s="6">
        <f>IFERROR(VLOOKUP($B549,Company_Cat!$B$2:$E$623,2,FALSE),"")</f>
        <v/>
      </c>
      <c r="B549" s="4" t="n"/>
      <c r="C549" s="6">
        <f>IFERROR(VLOOKUP($B549,Company_Cat!$B$2:$H$623,6,FALSE),"")</f>
        <v/>
      </c>
    </row>
    <row r="550">
      <c r="A550" s="6">
        <f>IFERROR(VLOOKUP($B550,Company_Cat!$B$2:$E$623,2,FALSE),"")</f>
        <v/>
      </c>
      <c r="B550" s="4" t="n"/>
      <c r="C550" s="6">
        <f>IFERROR(VLOOKUP($B550,Company_Cat!$B$2:$H$623,6,FALSE),"")</f>
        <v/>
      </c>
    </row>
    <row r="551">
      <c r="A551" s="6">
        <f>IFERROR(VLOOKUP($B551,Company_Cat!$B$2:$E$623,2,FALSE),"")</f>
        <v/>
      </c>
      <c r="B551" s="4" t="n"/>
      <c r="C551" s="6">
        <f>IFERROR(VLOOKUP($B551,Company_Cat!$B$2:$H$623,6,FALSE),"")</f>
        <v/>
      </c>
    </row>
    <row r="552">
      <c r="A552" s="6">
        <f>IFERROR(VLOOKUP($B552,Company_Cat!$B$2:$E$623,2,FALSE),"")</f>
        <v/>
      </c>
      <c r="B552" s="4" t="n"/>
      <c r="C552" s="6">
        <f>IFERROR(VLOOKUP($B552,Company_Cat!$B$2:$H$623,6,FALSE),"")</f>
        <v/>
      </c>
    </row>
    <row r="553">
      <c r="A553" s="6">
        <f>IFERROR(VLOOKUP($B553,Company_Cat!$B$2:$E$623,2,FALSE),"")</f>
        <v/>
      </c>
      <c r="B553" s="4" t="n"/>
      <c r="C553" s="6">
        <f>IFERROR(VLOOKUP($B553,Company_Cat!$B$2:$H$623,6,FALSE),"")</f>
        <v/>
      </c>
    </row>
    <row r="554">
      <c r="A554" s="6">
        <f>IFERROR(VLOOKUP($B554,Company_Cat!$B$2:$E$623,2,FALSE),"")</f>
        <v/>
      </c>
      <c r="B554" s="4" t="n"/>
      <c r="C554" s="6">
        <f>IFERROR(VLOOKUP($B554,Company_Cat!$B$2:$H$623,6,FALSE),"")</f>
        <v/>
      </c>
    </row>
    <row r="555">
      <c r="A555" s="6">
        <f>IFERROR(VLOOKUP($B555,Company_Cat!$B$2:$E$623,2,FALSE),"")</f>
        <v/>
      </c>
      <c r="B555" s="4" t="n"/>
      <c r="C555" s="6">
        <f>IFERROR(VLOOKUP($B555,Company_Cat!$B$2:$H$623,6,FALSE),"")</f>
        <v/>
      </c>
    </row>
    <row r="556">
      <c r="A556" s="6">
        <f>IFERROR(VLOOKUP($B556,Company_Cat!$B$2:$E$623,2,FALSE),"")</f>
        <v/>
      </c>
      <c r="B556" s="4" t="n"/>
      <c r="C556" s="6">
        <f>IFERROR(VLOOKUP($B556,Company_Cat!$B$2:$H$623,6,FALSE),"")</f>
        <v/>
      </c>
    </row>
    <row r="557">
      <c r="A557" s="6">
        <f>IFERROR(VLOOKUP($B557,Company_Cat!$B$2:$E$623,2,FALSE),"")</f>
        <v/>
      </c>
      <c r="B557" s="4" t="n"/>
      <c r="C557" s="6">
        <f>IFERROR(VLOOKUP($B557,Company_Cat!$B$2:$H$623,6,FALSE),"")</f>
        <v/>
      </c>
    </row>
    <row r="558">
      <c r="A558" s="6">
        <f>IFERROR(VLOOKUP($B558,Company_Cat!$B$2:$E$623,2,FALSE),"")</f>
        <v/>
      </c>
      <c r="B558" s="4" t="n"/>
      <c r="C558" s="6">
        <f>IFERROR(VLOOKUP($B558,Company_Cat!$B$2:$H$623,6,FALSE),"")</f>
        <v/>
      </c>
    </row>
    <row r="559">
      <c r="A559" s="6">
        <f>IFERROR(VLOOKUP($B559,Company_Cat!$B$2:$E$623,2,FALSE),"")</f>
        <v/>
      </c>
      <c r="B559" s="4" t="n"/>
      <c r="C559" s="6">
        <f>IFERROR(VLOOKUP($B559,Company_Cat!$B$2:$H$623,6,FALSE),"")</f>
        <v/>
      </c>
    </row>
    <row r="560">
      <c r="A560" s="6">
        <f>IFERROR(VLOOKUP($B560,Company_Cat!$B$2:$E$623,2,FALSE),"")</f>
        <v/>
      </c>
      <c r="B560" s="4" t="n"/>
      <c r="C560" s="6">
        <f>IFERROR(VLOOKUP($B560,Company_Cat!$B$2:$H$623,6,FALSE),"")</f>
        <v/>
      </c>
    </row>
    <row r="561">
      <c r="A561" s="6">
        <f>IFERROR(VLOOKUP($B561,Company_Cat!$B$2:$E$623,2,FALSE),"")</f>
        <v/>
      </c>
      <c r="B561" s="4" t="n"/>
      <c r="C561" s="6">
        <f>IFERROR(VLOOKUP($B561,Company_Cat!$B$2:$H$623,6,FALSE),"")</f>
        <v/>
      </c>
    </row>
    <row r="562">
      <c r="A562" s="6">
        <f>IFERROR(VLOOKUP($B562,Company_Cat!$B$2:$E$623,2,FALSE),"")</f>
        <v/>
      </c>
      <c r="B562" s="4" t="n"/>
      <c r="C562" s="6">
        <f>IFERROR(VLOOKUP($B562,Company_Cat!$B$2:$H$623,6,FALSE),"")</f>
        <v/>
      </c>
    </row>
    <row r="563">
      <c r="A563" s="6">
        <f>IFERROR(VLOOKUP($B563,Company_Cat!$B$2:$E$623,2,FALSE),"")</f>
        <v/>
      </c>
      <c r="B563" s="4" t="n"/>
      <c r="C563" s="6">
        <f>IFERROR(VLOOKUP($B563,Company_Cat!$B$2:$H$623,6,FALSE),"")</f>
        <v/>
      </c>
    </row>
    <row r="564">
      <c r="A564" s="6">
        <f>IFERROR(VLOOKUP($B564,Company_Cat!$B$2:$E$623,2,FALSE),"")</f>
        <v/>
      </c>
      <c r="B564" s="4" t="n"/>
      <c r="C564" s="6">
        <f>IFERROR(VLOOKUP($B564,Company_Cat!$B$2:$H$623,6,FALSE),"")</f>
        <v/>
      </c>
    </row>
    <row r="565">
      <c r="A565" s="6">
        <f>IFERROR(VLOOKUP($B565,Company_Cat!$B$2:$E$623,2,FALSE),"")</f>
        <v/>
      </c>
      <c r="B565" s="4" t="n"/>
      <c r="C565" s="6">
        <f>IFERROR(VLOOKUP($B565,Company_Cat!$B$2:$H$623,6,FALSE),"")</f>
        <v/>
      </c>
    </row>
    <row r="566">
      <c r="A566" s="6">
        <f>IFERROR(VLOOKUP($B566,Company_Cat!$B$2:$E$623,2,FALSE),"")</f>
        <v/>
      </c>
      <c r="B566" s="4" t="n"/>
      <c r="C566" s="6">
        <f>IFERROR(VLOOKUP($B566,Company_Cat!$B$2:$H$623,6,FALSE),"")</f>
        <v/>
      </c>
    </row>
    <row r="567">
      <c r="A567" s="6">
        <f>IFERROR(VLOOKUP($B567,Company_Cat!$B$2:$E$623,2,FALSE),"")</f>
        <v/>
      </c>
      <c r="B567" s="4" t="n"/>
      <c r="C567" s="6">
        <f>IFERROR(VLOOKUP($B567,Company_Cat!$B$2:$H$623,6,FALSE),"")</f>
        <v/>
      </c>
    </row>
    <row r="568">
      <c r="A568" s="6">
        <f>IFERROR(VLOOKUP($B568,Company_Cat!$B$2:$E$623,2,FALSE),"")</f>
        <v/>
      </c>
      <c r="B568" s="4" t="n"/>
      <c r="C568" s="6">
        <f>IFERROR(VLOOKUP($B568,Company_Cat!$B$2:$H$623,6,FALSE),"")</f>
        <v/>
      </c>
    </row>
    <row r="569">
      <c r="A569" s="6">
        <f>IFERROR(VLOOKUP($B569,Company_Cat!$B$2:$E$623,2,FALSE),"")</f>
        <v/>
      </c>
      <c r="B569" s="4" t="n"/>
      <c r="C569" s="6">
        <f>IFERROR(VLOOKUP($B569,Company_Cat!$B$2:$H$623,6,FALSE),"")</f>
        <v/>
      </c>
    </row>
    <row r="570">
      <c r="A570" s="6">
        <f>IFERROR(VLOOKUP($B570,Company_Cat!$B$2:$E$623,2,FALSE),"")</f>
        <v/>
      </c>
      <c r="B570" s="4" t="n"/>
      <c r="C570" s="6">
        <f>IFERROR(VLOOKUP($B570,Company_Cat!$B$2:$H$623,6,FALSE),"")</f>
        <v/>
      </c>
    </row>
    <row r="571">
      <c r="A571" s="6">
        <f>IFERROR(VLOOKUP($B571,Company_Cat!$B$2:$E$623,2,FALSE),"")</f>
        <v/>
      </c>
      <c r="B571" s="4" t="n"/>
      <c r="C571" s="6">
        <f>IFERROR(VLOOKUP($B571,Company_Cat!$B$2:$H$623,6,FALSE),"")</f>
        <v/>
      </c>
    </row>
    <row r="572">
      <c r="A572" s="6">
        <f>IFERROR(VLOOKUP($B572,Company_Cat!$B$2:$E$623,2,FALSE),"")</f>
        <v/>
      </c>
      <c r="B572" s="4" t="n"/>
      <c r="C572" s="6">
        <f>IFERROR(VLOOKUP($B572,Company_Cat!$B$2:$H$623,6,FALSE),"")</f>
        <v/>
      </c>
    </row>
    <row r="573">
      <c r="A573" s="6">
        <f>IFERROR(VLOOKUP($B573,Company_Cat!$B$2:$E$623,2,FALSE),"")</f>
        <v/>
      </c>
      <c r="B573" s="4" t="n"/>
      <c r="C573" s="6">
        <f>IFERROR(VLOOKUP($B573,Company_Cat!$B$2:$H$623,6,FALSE),"")</f>
        <v/>
      </c>
    </row>
    <row r="574">
      <c r="A574" s="6">
        <f>IFERROR(VLOOKUP($B574,Company_Cat!$B$2:$E$623,2,FALSE),"")</f>
        <v/>
      </c>
      <c r="B574" s="4" t="n"/>
      <c r="C574" s="6">
        <f>IFERROR(VLOOKUP($B574,Company_Cat!$B$2:$H$623,6,FALSE),"")</f>
        <v/>
      </c>
    </row>
    <row r="575">
      <c r="A575" s="6">
        <f>IFERROR(VLOOKUP($B575,Company_Cat!$B$2:$E$623,2,FALSE),"")</f>
        <v/>
      </c>
      <c r="B575" s="4" t="n"/>
      <c r="C575" s="6">
        <f>IFERROR(VLOOKUP($B575,Company_Cat!$B$2:$H$623,6,FALSE),"")</f>
        <v/>
      </c>
    </row>
    <row r="576">
      <c r="A576" s="6">
        <f>IFERROR(VLOOKUP($B576,Company_Cat!$B$2:$E$623,2,FALSE),"")</f>
        <v/>
      </c>
      <c r="B576" s="4" t="n"/>
      <c r="C576" s="6">
        <f>IFERROR(VLOOKUP($B576,Company_Cat!$B$2:$H$623,6,FALSE),"")</f>
        <v/>
      </c>
    </row>
    <row r="577">
      <c r="A577" s="6">
        <f>IFERROR(VLOOKUP($B577,Company_Cat!$B$2:$E$623,2,FALSE),"")</f>
        <v/>
      </c>
      <c r="B577" s="4" t="n"/>
      <c r="C577" s="6">
        <f>IFERROR(VLOOKUP($B577,Company_Cat!$B$2:$H$623,6,FALSE),"")</f>
        <v/>
      </c>
    </row>
    <row r="578">
      <c r="A578" s="6">
        <f>IFERROR(VLOOKUP($B578,Company_Cat!$B$2:$E$623,2,FALSE),"")</f>
        <v/>
      </c>
      <c r="B578" s="4" t="n"/>
      <c r="C578" s="6">
        <f>IFERROR(VLOOKUP($B578,Company_Cat!$B$2:$H$623,6,FALSE),"")</f>
        <v/>
      </c>
    </row>
    <row r="579">
      <c r="A579" s="6">
        <f>IFERROR(VLOOKUP($B579,Company_Cat!$B$2:$E$623,2,FALSE),"")</f>
        <v/>
      </c>
      <c r="B579" s="4" t="n"/>
      <c r="C579" s="6">
        <f>IFERROR(VLOOKUP($B579,Company_Cat!$B$2:$H$623,6,FALSE),"")</f>
        <v/>
      </c>
    </row>
    <row r="580">
      <c r="A580" s="6">
        <f>IFERROR(VLOOKUP($B580,Company_Cat!$B$2:$E$623,2,FALSE),"")</f>
        <v/>
      </c>
      <c r="B580" s="4" t="n"/>
      <c r="C580" s="6">
        <f>IFERROR(VLOOKUP($B580,Company_Cat!$B$2:$H$623,6,FALSE),"")</f>
        <v/>
      </c>
    </row>
    <row r="581">
      <c r="A581" s="6">
        <f>IFERROR(VLOOKUP($B581,Company_Cat!$B$2:$E$623,2,FALSE),"")</f>
        <v/>
      </c>
      <c r="B581" s="4" t="n"/>
      <c r="C581" s="6">
        <f>IFERROR(VLOOKUP($B581,Company_Cat!$B$2:$H$623,6,FALSE),"")</f>
        <v/>
      </c>
    </row>
    <row r="582">
      <c r="A582" s="6">
        <f>IFERROR(VLOOKUP($B582,Company_Cat!$B$2:$E$623,2,FALSE),"")</f>
        <v/>
      </c>
      <c r="B582" s="4" t="n"/>
      <c r="C582" s="6">
        <f>IFERROR(VLOOKUP($B582,Company_Cat!$B$2:$H$623,6,FALSE),"")</f>
        <v/>
      </c>
    </row>
    <row r="583">
      <c r="A583" s="6">
        <f>IFERROR(VLOOKUP($B583,Company_Cat!$B$2:$E$623,2,FALSE),"")</f>
        <v/>
      </c>
      <c r="B583" s="4" t="n"/>
      <c r="C583" s="6">
        <f>IFERROR(VLOOKUP($B583,Company_Cat!$B$2:$H$623,6,FALSE),"")</f>
        <v/>
      </c>
    </row>
    <row r="584">
      <c r="A584" s="6">
        <f>IFERROR(VLOOKUP($B584,Company_Cat!$B$2:$E$623,2,FALSE),"")</f>
        <v/>
      </c>
      <c r="B584" s="4" t="n"/>
      <c r="C584" s="6">
        <f>IFERROR(VLOOKUP($B584,Company_Cat!$B$2:$H$623,6,FALSE),"")</f>
        <v/>
      </c>
    </row>
    <row r="585">
      <c r="A585" s="6">
        <f>IFERROR(VLOOKUP($B585,Company_Cat!$B$2:$E$623,2,FALSE),"")</f>
        <v/>
      </c>
      <c r="B585" s="4" t="n"/>
      <c r="C585" s="6">
        <f>IFERROR(VLOOKUP($B585,Company_Cat!$B$2:$H$623,6,FALSE),"")</f>
        <v/>
      </c>
    </row>
    <row r="586">
      <c r="A586" s="6">
        <f>IFERROR(VLOOKUP($B586,Company_Cat!$B$2:$E$623,2,FALSE),"")</f>
        <v/>
      </c>
      <c r="B586" s="4" t="n"/>
      <c r="C586" s="6">
        <f>IFERROR(VLOOKUP($B586,Company_Cat!$B$2:$H$623,6,FALSE),"")</f>
        <v/>
      </c>
    </row>
    <row r="587">
      <c r="A587" s="6">
        <f>IFERROR(VLOOKUP($B587,Company_Cat!$B$2:$E$623,2,FALSE),"")</f>
        <v/>
      </c>
      <c r="B587" s="4" t="n"/>
      <c r="C587" s="6">
        <f>IFERROR(VLOOKUP($B587,Company_Cat!$B$2:$H$623,6,FALSE),"")</f>
        <v/>
      </c>
    </row>
    <row r="588">
      <c r="A588" s="6">
        <f>IFERROR(VLOOKUP($B588,Company_Cat!$B$2:$E$623,2,FALSE),"")</f>
        <v/>
      </c>
      <c r="B588" s="4" t="n"/>
      <c r="C588" s="6">
        <f>IFERROR(VLOOKUP($B588,Company_Cat!$B$2:$H$623,6,FALSE),"")</f>
        <v/>
      </c>
    </row>
    <row r="589">
      <c r="A589" s="6">
        <f>IFERROR(VLOOKUP($B589,Company_Cat!$B$2:$E$623,2,FALSE),"")</f>
        <v/>
      </c>
      <c r="B589" s="4" t="n"/>
      <c r="C589" s="6">
        <f>IFERROR(VLOOKUP($B589,Company_Cat!$B$2:$H$623,6,FALSE),"")</f>
        <v/>
      </c>
    </row>
    <row r="590">
      <c r="A590" s="6">
        <f>IFERROR(VLOOKUP($B590,Company_Cat!$B$2:$E$623,2,FALSE),"")</f>
        <v/>
      </c>
      <c r="B590" s="4" t="n"/>
      <c r="C590" s="6">
        <f>IFERROR(VLOOKUP($B590,Company_Cat!$B$2:$H$623,6,FALSE),"")</f>
        <v/>
      </c>
    </row>
    <row r="591">
      <c r="A591" s="6">
        <f>IFERROR(VLOOKUP($B591,Company_Cat!$B$2:$E$623,2,FALSE),"")</f>
        <v/>
      </c>
      <c r="B591" s="4" t="n"/>
      <c r="C591" s="6">
        <f>IFERROR(VLOOKUP($B591,Company_Cat!$B$2:$H$623,6,FALSE),"")</f>
        <v/>
      </c>
    </row>
    <row r="592">
      <c r="A592" s="6">
        <f>IFERROR(VLOOKUP($B592,Company_Cat!$B$2:$E$623,2,FALSE),"")</f>
        <v/>
      </c>
      <c r="B592" s="4" t="n"/>
      <c r="C592" s="6">
        <f>IFERROR(VLOOKUP($B592,Company_Cat!$B$2:$H$623,6,FALSE),"")</f>
        <v/>
      </c>
    </row>
    <row r="593">
      <c r="A593" s="6">
        <f>IFERROR(VLOOKUP($B593,Company_Cat!$B$2:$E$623,2,FALSE),"")</f>
        <v/>
      </c>
      <c r="B593" s="4" t="n"/>
      <c r="C593" s="6">
        <f>IFERROR(VLOOKUP($B593,Company_Cat!$B$2:$H$623,6,FALSE),"")</f>
        <v/>
      </c>
    </row>
    <row r="594">
      <c r="A594" s="6">
        <f>IFERROR(VLOOKUP($B594,Company_Cat!$B$2:$E$623,2,FALSE),"")</f>
        <v/>
      </c>
      <c r="B594" s="4" t="n"/>
      <c r="C594" s="6">
        <f>IFERROR(VLOOKUP($B594,Company_Cat!$B$2:$H$623,6,FALSE),"")</f>
        <v/>
      </c>
    </row>
    <row r="595">
      <c r="A595" s="6">
        <f>IFERROR(VLOOKUP($B595,Company_Cat!$B$2:$E$623,2,FALSE),"")</f>
        <v/>
      </c>
      <c r="B595" s="4" t="n"/>
      <c r="C595" s="6">
        <f>IFERROR(VLOOKUP($B595,Company_Cat!$B$2:$H$623,6,FALSE),"")</f>
        <v/>
      </c>
    </row>
    <row r="596">
      <c r="A596" s="6">
        <f>IFERROR(VLOOKUP($B596,Company_Cat!$B$2:$E$623,2,FALSE),"")</f>
        <v/>
      </c>
      <c r="B596" s="4" t="n"/>
      <c r="C596" s="6">
        <f>IFERROR(VLOOKUP($B596,Company_Cat!$B$2:$H$623,6,FALSE),"")</f>
        <v/>
      </c>
    </row>
    <row r="597">
      <c r="A597" s="6">
        <f>IFERROR(VLOOKUP($B597,Company_Cat!$B$2:$E$623,2,FALSE),"")</f>
        <v/>
      </c>
      <c r="B597" s="4" t="n"/>
      <c r="C597" s="6">
        <f>IFERROR(VLOOKUP($B597,Company_Cat!$B$2:$H$623,6,FALSE),"")</f>
        <v/>
      </c>
    </row>
    <row r="598">
      <c r="A598" s="6">
        <f>IFERROR(VLOOKUP($B598,Company_Cat!$B$2:$E$623,2,FALSE),"")</f>
        <v/>
      </c>
      <c r="B598" s="4" t="n"/>
      <c r="C598" s="6">
        <f>IFERROR(VLOOKUP($B598,Company_Cat!$B$2:$H$623,6,FALSE),"")</f>
        <v/>
      </c>
    </row>
    <row r="599">
      <c r="A599" s="6">
        <f>IFERROR(VLOOKUP($B599,Company_Cat!$B$2:$E$623,2,FALSE),"")</f>
        <v/>
      </c>
      <c r="B599" s="4" t="n"/>
      <c r="C599" s="6">
        <f>IFERROR(VLOOKUP($B599,Company_Cat!$B$2:$H$623,6,FALSE),"")</f>
        <v/>
      </c>
    </row>
    <row r="600">
      <c r="A600" s="6">
        <f>IFERROR(VLOOKUP($B600,Company_Cat!$B$2:$E$623,2,FALSE),"")</f>
        <v/>
      </c>
      <c r="B600" s="4" t="n"/>
      <c r="C600" s="6">
        <f>IFERROR(VLOOKUP($B600,Company_Cat!$B$2:$H$623,6,FALSE),"")</f>
        <v/>
      </c>
    </row>
    <row r="601">
      <c r="A601" s="6">
        <f>IFERROR(VLOOKUP($B601,Company_Cat!$B$2:$E$623,2,FALSE),"")</f>
        <v/>
      </c>
      <c r="B601" s="4" t="n"/>
      <c r="C601" s="6">
        <f>IFERROR(VLOOKUP($B601,Company_Cat!$B$2:$H$623,6,FALSE),"")</f>
        <v/>
      </c>
    </row>
    <row r="602">
      <c r="A602" s="6">
        <f>IFERROR(VLOOKUP($B602,Company_Cat!$B$2:$E$623,2,FALSE),"")</f>
        <v/>
      </c>
      <c r="B602" s="4" t="n"/>
      <c r="C602" s="6">
        <f>IFERROR(VLOOKUP($B602,Company_Cat!$B$2:$H$623,6,FALSE),"")</f>
        <v/>
      </c>
    </row>
    <row r="603">
      <c r="A603" s="6">
        <f>IFERROR(VLOOKUP($B603,Company_Cat!$B$2:$E$623,2,FALSE),"")</f>
        <v/>
      </c>
      <c r="B603" s="4" t="n"/>
      <c r="C603" s="6">
        <f>IFERROR(VLOOKUP($B603,Company_Cat!$B$2:$H$623,6,FALSE),"")</f>
        <v/>
      </c>
    </row>
    <row r="604">
      <c r="A604" s="6">
        <f>IFERROR(VLOOKUP($B604,Company_Cat!$B$2:$E$623,2,FALSE),"")</f>
        <v/>
      </c>
      <c r="B604" s="4" t="n"/>
      <c r="C604" s="6">
        <f>IFERROR(VLOOKUP($B604,Company_Cat!$B$2:$H$623,6,FALSE),"")</f>
        <v/>
      </c>
    </row>
    <row r="605">
      <c r="A605" s="6">
        <f>IFERROR(VLOOKUP($B605,Company_Cat!$B$2:$E$623,2,FALSE),"")</f>
        <v/>
      </c>
      <c r="B605" s="4" t="n"/>
      <c r="C605" s="6">
        <f>IFERROR(VLOOKUP($B605,Company_Cat!$B$2:$H$623,6,FALSE),"")</f>
        <v/>
      </c>
    </row>
    <row r="606">
      <c r="A606" s="6">
        <f>IFERROR(VLOOKUP($B606,Company_Cat!$B$2:$E$623,2,FALSE),"")</f>
        <v/>
      </c>
      <c r="B606" s="4" t="n"/>
      <c r="C606" s="6">
        <f>IFERROR(VLOOKUP($B606,Company_Cat!$B$2:$H$623,6,FALSE),"")</f>
        <v/>
      </c>
    </row>
    <row r="607">
      <c r="A607" s="6">
        <f>IFERROR(VLOOKUP($B607,Company_Cat!$B$2:$E$623,2,FALSE),"")</f>
        <v/>
      </c>
      <c r="B607" s="4" t="n"/>
      <c r="C607" s="6">
        <f>IFERROR(VLOOKUP($B607,Company_Cat!$B$2:$H$623,6,FALSE),"")</f>
        <v/>
      </c>
    </row>
    <row r="608">
      <c r="A608" s="6">
        <f>IFERROR(VLOOKUP($B608,Company_Cat!$B$2:$E$623,2,FALSE),"")</f>
        <v/>
      </c>
      <c r="B608" s="4" t="n"/>
      <c r="C608" s="6">
        <f>IFERROR(VLOOKUP($B608,Company_Cat!$B$2:$H$623,6,FALSE),"")</f>
        <v/>
      </c>
    </row>
    <row r="609">
      <c r="A609" s="6">
        <f>IFERROR(VLOOKUP($B609,Company_Cat!$B$2:$E$623,2,FALSE),"")</f>
        <v/>
      </c>
      <c r="B609" s="4" t="n"/>
      <c r="C609" s="6">
        <f>IFERROR(VLOOKUP($B609,Company_Cat!$B$2:$H$623,6,FALSE),"")</f>
        <v/>
      </c>
    </row>
    <row r="610">
      <c r="A610" s="6">
        <f>IFERROR(VLOOKUP($B610,Company_Cat!$B$2:$E$623,2,FALSE),"")</f>
        <v/>
      </c>
      <c r="B610" s="4" t="n"/>
      <c r="C610" s="6">
        <f>IFERROR(VLOOKUP($B610,Company_Cat!$B$2:$H$623,6,FALSE),"")</f>
        <v/>
      </c>
    </row>
    <row r="611">
      <c r="A611" s="6">
        <f>IFERROR(VLOOKUP($B611,Company_Cat!$B$2:$E$623,2,FALSE),"")</f>
        <v/>
      </c>
      <c r="B611" s="4" t="n"/>
      <c r="C611" s="6">
        <f>IFERROR(VLOOKUP($B611,Company_Cat!$B$2:$H$623,6,FALSE),"")</f>
        <v/>
      </c>
    </row>
    <row r="612">
      <c r="A612" s="6">
        <f>IFERROR(VLOOKUP($B612,Company_Cat!$B$2:$E$623,2,FALSE),"")</f>
        <v/>
      </c>
      <c r="B612" s="4" t="n"/>
      <c r="C612" s="6">
        <f>IFERROR(VLOOKUP($B612,Company_Cat!$B$2:$H$623,6,FALSE),"")</f>
        <v/>
      </c>
    </row>
    <row r="613">
      <c r="A613" s="6">
        <f>IFERROR(VLOOKUP($B613,Company_Cat!$B$2:$E$623,2,FALSE),"")</f>
        <v/>
      </c>
      <c r="B613" s="4" t="n"/>
      <c r="C613" s="6">
        <f>IFERROR(VLOOKUP($B613,Company_Cat!$B$2:$H$623,6,FALSE),"")</f>
        <v/>
      </c>
    </row>
    <row r="614">
      <c r="A614" s="6">
        <f>IFERROR(VLOOKUP($B614,Company_Cat!$B$2:$E$623,2,FALSE),"")</f>
        <v/>
      </c>
      <c r="B614" s="4" t="n"/>
      <c r="C614" s="6">
        <f>IFERROR(VLOOKUP($B614,Company_Cat!$B$2:$H$623,6,FALSE),"")</f>
        <v/>
      </c>
    </row>
    <row r="615">
      <c r="A615" s="6">
        <f>IFERROR(VLOOKUP($B615,Company_Cat!$B$2:$E$623,2,FALSE),"")</f>
        <v/>
      </c>
      <c r="B615" s="4" t="n"/>
      <c r="C615" s="6">
        <f>IFERROR(VLOOKUP($B615,Company_Cat!$B$2:$H$623,6,FALSE),"")</f>
        <v/>
      </c>
    </row>
    <row r="616">
      <c r="A616" s="6">
        <f>IFERROR(VLOOKUP($B616,Company_Cat!$B$2:$E$623,2,FALSE),"")</f>
        <v/>
      </c>
      <c r="B616" s="4" t="n"/>
      <c r="C616" s="6">
        <f>IFERROR(VLOOKUP($B616,Company_Cat!$B$2:$H$623,6,FALSE),"")</f>
        <v/>
      </c>
    </row>
    <row r="617">
      <c r="A617" s="6">
        <f>IFERROR(VLOOKUP($B617,Company_Cat!$B$2:$E$623,2,FALSE),"")</f>
        <v/>
      </c>
      <c r="B617" s="4" t="n"/>
      <c r="C617" s="6">
        <f>IFERROR(VLOOKUP($B617,Company_Cat!$B$2:$H$623,6,FALSE),"")</f>
        <v/>
      </c>
    </row>
    <row r="618">
      <c r="A618" s="6">
        <f>IFERROR(VLOOKUP($B618,Company_Cat!$B$2:$E$623,2,FALSE),"")</f>
        <v/>
      </c>
      <c r="B618" s="4" t="n"/>
      <c r="C618" s="6">
        <f>IFERROR(VLOOKUP($B618,Company_Cat!$B$2:$H$623,6,FALSE),"")</f>
        <v/>
      </c>
    </row>
    <row r="619">
      <c r="A619" s="6">
        <f>IFERROR(VLOOKUP($B619,Company_Cat!$B$2:$E$623,2,FALSE),"")</f>
        <v/>
      </c>
      <c r="B619" s="4" t="n"/>
      <c r="C619" s="6">
        <f>IFERROR(VLOOKUP($B619,Company_Cat!$B$2:$H$623,6,FALSE),"")</f>
        <v/>
      </c>
    </row>
    <row r="620">
      <c r="A620" s="6">
        <f>IFERROR(VLOOKUP($B620,Company_Cat!$B$2:$E$623,2,FALSE),"")</f>
        <v/>
      </c>
      <c r="B620" s="4" t="n"/>
      <c r="C620" s="6">
        <f>IFERROR(VLOOKUP($B620,Company_Cat!$B$2:$H$623,6,FALSE),"")</f>
        <v/>
      </c>
    </row>
    <row r="621">
      <c r="A621" s="6">
        <f>IFERROR(VLOOKUP($B621,Company_Cat!$B$2:$E$623,2,FALSE),"")</f>
        <v/>
      </c>
      <c r="B621" s="4" t="n"/>
      <c r="C621" s="6">
        <f>IFERROR(VLOOKUP($B621,Company_Cat!$B$2:$H$623,6,FALSE),"")</f>
        <v/>
      </c>
    </row>
    <row r="622">
      <c r="A622" s="6">
        <f>IFERROR(VLOOKUP($B622,Company_Cat!$B$2:$E$623,2,FALSE),"")</f>
        <v/>
      </c>
      <c r="B622" s="4" t="n"/>
      <c r="C622" s="6">
        <f>IFERROR(VLOOKUP($B622,Company_Cat!$B$2:$H$623,6,FALSE),"")</f>
        <v/>
      </c>
    </row>
    <row r="623">
      <c r="A623" s="6">
        <f>IFERROR(VLOOKUP($B623,Company_Cat!$B$2:$E$623,2,FALSE),"")</f>
        <v/>
      </c>
      <c r="B623" s="4" t="n"/>
      <c r="C623" s="6">
        <f>IFERROR(VLOOKUP($B623,Company_Cat!$B$2:$H$623,6,FALSE),"")</f>
        <v/>
      </c>
    </row>
    <row r="624">
      <c r="A624" s="6">
        <f>IFERROR(VLOOKUP($B624,Company_Cat!$B$2:$E$623,2,FALSE),"")</f>
        <v/>
      </c>
      <c r="B624" s="4" t="n"/>
      <c r="C624" s="6">
        <f>IFERROR(VLOOKUP($B624,Company_Cat!$B$2:$H$623,6,FALSE),"")</f>
        <v/>
      </c>
    </row>
    <row r="625">
      <c r="A625" s="6">
        <f>IFERROR(VLOOKUP($B625,Company_Cat!$B$2:$E$623,2,FALSE),"")</f>
        <v/>
      </c>
      <c r="B625" s="4" t="n"/>
      <c r="C625" s="6">
        <f>IFERROR(VLOOKUP($B625,Company_Cat!$B$2:$H$623,6,FALSE),"")</f>
        <v/>
      </c>
    </row>
    <row r="626">
      <c r="A626" s="6">
        <f>IFERROR(VLOOKUP($B626,Company_Cat!$B$2:$E$623,2,FALSE),"")</f>
        <v/>
      </c>
      <c r="B626" s="4" t="n"/>
      <c r="C626" s="6">
        <f>IFERROR(VLOOKUP($B626,Company_Cat!$B$2:$H$623,6,FALSE),"")</f>
        <v/>
      </c>
    </row>
    <row r="627">
      <c r="A627" s="6">
        <f>IFERROR(VLOOKUP($B627,Company_Cat!$B$2:$E$623,2,FALSE),"")</f>
        <v/>
      </c>
      <c r="B627" s="4" t="n"/>
      <c r="C627" s="6">
        <f>IFERROR(VLOOKUP($B627,Company_Cat!$B$2:$H$623,6,FALSE),"")</f>
        <v/>
      </c>
    </row>
    <row r="628">
      <c r="A628" s="6">
        <f>IFERROR(VLOOKUP($B628,Company_Cat!$B$2:$E$623,2,FALSE),"")</f>
        <v/>
      </c>
      <c r="B628" s="4" t="n"/>
      <c r="C628" s="6">
        <f>IFERROR(VLOOKUP($B628,Company_Cat!$B$2:$H$623,6,FALSE),"")</f>
        <v/>
      </c>
    </row>
    <row r="629">
      <c r="A629" s="6">
        <f>IFERROR(VLOOKUP($B629,Company_Cat!$B$2:$E$623,2,FALSE),"")</f>
        <v/>
      </c>
      <c r="B629" s="4" t="n"/>
      <c r="C629" s="6">
        <f>IFERROR(VLOOKUP($B629,Company_Cat!$B$2:$H$623,6,FALSE),"")</f>
        <v/>
      </c>
    </row>
    <row r="630">
      <c r="A630" s="6">
        <f>IFERROR(VLOOKUP($B630,Company_Cat!$B$2:$E$623,2,FALSE),"")</f>
        <v/>
      </c>
      <c r="B630" s="4" t="n"/>
      <c r="C630" s="6">
        <f>IFERROR(VLOOKUP($B630,Company_Cat!$B$2:$H$623,6,FALSE),"")</f>
        <v/>
      </c>
    </row>
    <row r="631">
      <c r="A631" s="6">
        <f>IFERROR(VLOOKUP($B631,Company_Cat!$B$2:$E$623,2,FALSE),"")</f>
        <v/>
      </c>
      <c r="B631" s="4" t="n"/>
      <c r="C631" s="6">
        <f>IFERROR(VLOOKUP($B631,Company_Cat!$B$2:$H$623,6,FALSE),"")</f>
        <v/>
      </c>
    </row>
    <row r="632">
      <c r="A632" s="6">
        <f>IFERROR(VLOOKUP($B632,Company_Cat!$B$2:$E$623,2,FALSE),"")</f>
        <v/>
      </c>
      <c r="B632" s="4" t="n"/>
      <c r="C632" s="6">
        <f>IFERROR(VLOOKUP($B632,Company_Cat!$B$2:$H$623,6,FALSE),"")</f>
        <v/>
      </c>
    </row>
    <row r="633">
      <c r="A633" s="6">
        <f>IFERROR(VLOOKUP($B633,Company_Cat!$B$2:$E$623,2,FALSE),"")</f>
        <v/>
      </c>
      <c r="B633" s="4" t="n"/>
      <c r="C633" s="6">
        <f>IFERROR(VLOOKUP($B633,Company_Cat!$B$2:$H$623,6,FALSE),"")</f>
        <v/>
      </c>
    </row>
    <row r="634">
      <c r="A634" s="6">
        <f>IFERROR(VLOOKUP($B634,Company_Cat!$B$2:$E$623,2,FALSE),"")</f>
        <v/>
      </c>
      <c r="B634" s="4" t="n"/>
      <c r="C634" s="6">
        <f>IFERROR(VLOOKUP($B634,Company_Cat!$B$2:$H$623,6,FALSE),"")</f>
        <v/>
      </c>
    </row>
    <row r="635">
      <c r="A635" s="6">
        <f>IFERROR(VLOOKUP($B635,Company_Cat!$B$2:$E$623,2,FALSE),"")</f>
        <v/>
      </c>
      <c r="B635" s="4" t="n"/>
      <c r="C635" s="6">
        <f>IFERROR(VLOOKUP($B635,Company_Cat!$B$2:$H$623,6,FALSE),"")</f>
        <v/>
      </c>
    </row>
    <row r="636">
      <c r="A636" s="6">
        <f>IFERROR(VLOOKUP($B636,Company_Cat!$B$2:$E$623,2,FALSE),"")</f>
        <v/>
      </c>
      <c r="B636" s="4" t="n"/>
      <c r="C636" s="6">
        <f>IFERROR(VLOOKUP($B636,Company_Cat!$B$2:$H$623,6,FALSE),"")</f>
        <v/>
      </c>
    </row>
    <row r="637">
      <c r="A637" s="6">
        <f>IFERROR(VLOOKUP($B637,Company_Cat!$B$2:$E$623,2,FALSE),"")</f>
        <v/>
      </c>
      <c r="B637" s="4" t="n"/>
      <c r="C637" s="6">
        <f>IFERROR(VLOOKUP($B637,Company_Cat!$B$2:$H$623,6,FALSE),"")</f>
        <v/>
      </c>
    </row>
    <row r="638">
      <c r="A638" s="6">
        <f>IFERROR(VLOOKUP($B638,Company_Cat!$B$2:$E$623,2,FALSE),"")</f>
        <v/>
      </c>
      <c r="B638" s="4" t="n"/>
      <c r="C638" s="6">
        <f>IFERROR(VLOOKUP($B638,Company_Cat!$B$2:$H$623,6,FALSE),"")</f>
        <v/>
      </c>
    </row>
    <row r="639">
      <c r="A639" s="6">
        <f>IFERROR(VLOOKUP($B639,Company_Cat!$B$2:$E$623,2,FALSE),"")</f>
        <v/>
      </c>
      <c r="B639" s="4" t="n"/>
      <c r="C639" s="6">
        <f>IFERROR(VLOOKUP($B639,Company_Cat!$B$2:$H$623,6,FALSE),"")</f>
        <v/>
      </c>
    </row>
    <row r="640">
      <c r="A640" s="6">
        <f>IFERROR(VLOOKUP($B640,Company_Cat!$B$2:$E$623,2,FALSE),"")</f>
        <v/>
      </c>
      <c r="B640" s="4" t="n"/>
      <c r="C640" s="6">
        <f>IFERROR(VLOOKUP($B640,Company_Cat!$B$2:$H$623,6,FALSE),"")</f>
        <v/>
      </c>
    </row>
    <row r="641">
      <c r="A641" s="6">
        <f>IFERROR(VLOOKUP($B641,Company_Cat!$B$2:$E$623,2,FALSE),"")</f>
        <v/>
      </c>
      <c r="B641" s="4" t="n"/>
      <c r="C641" s="6">
        <f>IFERROR(VLOOKUP($B641,Company_Cat!$B$2:$H$623,6,FALSE),"")</f>
        <v/>
      </c>
    </row>
    <row r="642">
      <c r="A642" s="6">
        <f>IFERROR(VLOOKUP($B642,Company_Cat!$B$2:$E$623,2,FALSE),"")</f>
        <v/>
      </c>
      <c r="B642" s="4" t="n"/>
      <c r="C642" s="6">
        <f>IFERROR(VLOOKUP($B642,Company_Cat!$B$2:$H$623,6,FALSE),"")</f>
        <v/>
      </c>
    </row>
    <row r="643">
      <c r="A643" s="6">
        <f>IFERROR(VLOOKUP($B643,Company_Cat!$B$2:$E$623,2,FALSE),"")</f>
        <v/>
      </c>
      <c r="B643" s="4" t="n"/>
      <c r="C643" s="6">
        <f>IFERROR(VLOOKUP($B643,Company_Cat!$B$2:$H$623,6,FALSE),"")</f>
        <v/>
      </c>
    </row>
    <row r="644">
      <c r="A644" s="6">
        <f>IFERROR(VLOOKUP($B644,Company_Cat!$B$2:$E$623,2,FALSE),"")</f>
        <v/>
      </c>
      <c r="B644" s="4" t="n"/>
      <c r="C644" s="6">
        <f>IFERROR(VLOOKUP($B644,Company_Cat!$B$2:$H$623,6,FALSE),"")</f>
        <v/>
      </c>
    </row>
    <row r="645">
      <c r="A645" s="6">
        <f>IFERROR(VLOOKUP($B645,Company_Cat!$B$2:$E$623,2,FALSE),"")</f>
        <v/>
      </c>
      <c r="B645" s="4" t="n"/>
      <c r="C645" s="6">
        <f>IFERROR(VLOOKUP($B645,Company_Cat!$B$2:$H$623,6,FALSE),"")</f>
        <v/>
      </c>
    </row>
    <row r="646">
      <c r="A646" s="6">
        <f>IFERROR(VLOOKUP($B646,Company_Cat!$B$2:$E$623,2,FALSE),"")</f>
        <v/>
      </c>
      <c r="B646" s="4" t="n"/>
      <c r="C646" s="6">
        <f>IFERROR(VLOOKUP($B646,Company_Cat!$B$2:$H$623,6,FALSE),"")</f>
        <v/>
      </c>
    </row>
    <row r="647">
      <c r="A647" s="6">
        <f>IFERROR(VLOOKUP($B647,Company_Cat!$B$2:$E$623,2,FALSE),"")</f>
        <v/>
      </c>
      <c r="B647" s="4" t="n"/>
      <c r="C647" s="6">
        <f>IFERROR(VLOOKUP($B647,Company_Cat!$B$2:$H$623,6,FALSE),"")</f>
        <v/>
      </c>
    </row>
    <row r="648">
      <c r="A648" s="6">
        <f>IFERROR(VLOOKUP($B648,Company_Cat!$B$2:$E$623,2,FALSE),"")</f>
        <v/>
      </c>
      <c r="B648" s="4" t="n"/>
      <c r="C648" s="6">
        <f>IFERROR(VLOOKUP($B648,Company_Cat!$B$2:$H$623,6,FALSE),"")</f>
        <v/>
      </c>
    </row>
    <row r="649">
      <c r="A649" s="6">
        <f>IFERROR(VLOOKUP($B649,Company_Cat!$B$2:$E$623,2,FALSE),"")</f>
        <v/>
      </c>
      <c r="B649" s="4" t="n"/>
      <c r="C649" s="6">
        <f>IFERROR(VLOOKUP($B649,Company_Cat!$B$2:$H$623,6,FALSE),"")</f>
        <v/>
      </c>
    </row>
    <row r="650">
      <c r="A650" s="6">
        <f>IFERROR(VLOOKUP($B650,Company_Cat!$B$2:$E$623,2,FALSE),"")</f>
        <v/>
      </c>
      <c r="B650" s="4" t="n"/>
      <c r="C650" s="6">
        <f>IFERROR(VLOOKUP($B650,Company_Cat!$B$2:$H$623,6,FALSE),"")</f>
        <v/>
      </c>
    </row>
    <row r="651">
      <c r="A651" s="6">
        <f>IFERROR(VLOOKUP($B651,Company_Cat!$B$2:$E$623,2,FALSE),"")</f>
        <v/>
      </c>
      <c r="B651" s="4" t="n"/>
      <c r="C651" s="6">
        <f>IFERROR(VLOOKUP($B651,Company_Cat!$B$2:$H$623,6,FALSE),"")</f>
        <v/>
      </c>
    </row>
    <row r="652">
      <c r="A652" s="6">
        <f>IFERROR(VLOOKUP($B652,Company_Cat!$B$2:$E$623,2,FALSE),"")</f>
        <v/>
      </c>
      <c r="B652" s="4" t="n"/>
      <c r="C652" s="6">
        <f>IFERROR(VLOOKUP($B652,Company_Cat!$B$2:$H$623,6,FALSE),"")</f>
        <v/>
      </c>
    </row>
    <row r="653">
      <c r="A653" s="6">
        <f>IFERROR(VLOOKUP($B653,Company_Cat!$B$2:$E$623,2,FALSE),"")</f>
        <v/>
      </c>
      <c r="B653" s="4" t="n"/>
      <c r="C653" s="6">
        <f>IFERROR(VLOOKUP($B653,Company_Cat!$B$2:$H$623,6,FALSE),"")</f>
        <v/>
      </c>
    </row>
    <row r="654">
      <c r="A654" s="6">
        <f>IFERROR(VLOOKUP($B654,Company_Cat!$B$2:$E$623,2,FALSE),"")</f>
        <v/>
      </c>
      <c r="B654" s="4" t="n"/>
      <c r="C654" s="6">
        <f>IFERROR(VLOOKUP($B654,Company_Cat!$B$2:$H$623,6,FALSE),"")</f>
        <v/>
      </c>
    </row>
    <row r="655">
      <c r="A655" s="6">
        <f>IFERROR(VLOOKUP($B655,Company_Cat!$B$2:$E$623,2,FALSE),"")</f>
        <v/>
      </c>
      <c r="B655" s="4" t="n"/>
      <c r="C655" s="6">
        <f>IFERROR(VLOOKUP($B655,Company_Cat!$B$2:$H$623,6,FALSE),"")</f>
        <v/>
      </c>
    </row>
    <row r="656">
      <c r="A656" s="6">
        <f>IFERROR(VLOOKUP($B656,Company_Cat!$B$2:$E$623,2,FALSE),"")</f>
        <v/>
      </c>
      <c r="B656" s="4" t="n"/>
      <c r="C656" s="6">
        <f>IFERROR(VLOOKUP($B656,Company_Cat!$B$2:$H$623,6,FALSE),"")</f>
        <v/>
      </c>
    </row>
    <row r="657">
      <c r="A657" s="6">
        <f>IFERROR(VLOOKUP($B657,Company_Cat!$B$2:$E$623,2,FALSE),"")</f>
        <v/>
      </c>
      <c r="B657" s="4" t="n"/>
      <c r="C657" s="6">
        <f>IFERROR(VLOOKUP($B657,Company_Cat!$B$2:$H$623,6,FALSE),"")</f>
        <v/>
      </c>
    </row>
    <row r="658">
      <c r="A658" s="6">
        <f>IFERROR(VLOOKUP($B658,Company_Cat!$B$2:$E$623,2,FALSE),"")</f>
        <v/>
      </c>
      <c r="B658" s="4" t="n"/>
      <c r="C658" s="6">
        <f>IFERROR(VLOOKUP($B658,Company_Cat!$B$2:$H$623,6,FALSE),"")</f>
        <v/>
      </c>
    </row>
    <row r="659">
      <c r="A659" s="6">
        <f>IFERROR(VLOOKUP($B659,Company_Cat!$B$2:$E$623,2,FALSE),"")</f>
        <v/>
      </c>
      <c r="B659" s="4" t="n"/>
      <c r="C659" s="6">
        <f>IFERROR(VLOOKUP($B659,Company_Cat!$B$2:$H$623,6,FALSE),"")</f>
        <v/>
      </c>
    </row>
    <row r="660">
      <c r="A660" s="6">
        <f>IFERROR(VLOOKUP($B660,Company_Cat!$B$2:$E$623,2,FALSE),"")</f>
        <v/>
      </c>
      <c r="B660" s="4" t="n"/>
      <c r="C660" s="6">
        <f>IFERROR(VLOOKUP($B660,Company_Cat!$B$2:$H$623,6,FALSE),"")</f>
        <v/>
      </c>
    </row>
    <row r="661">
      <c r="A661" s="6">
        <f>IFERROR(VLOOKUP($B661,Company_Cat!$B$2:$E$623,2,FALSE),"")</f>
        <v/>
      </c>
      <c r="B661" s="4" t="n"/>
      <c r="C661" s="6">
        <f>IFERROR(VLOOKUP($B661,Company_Cat!$B$2:$H$623,6,FALSE),"")</f>
        <v/>
      </c>
    </row>
    <row r="662">
      <c r="A662" s="6">
        <f>IFERROR(VLOOKUP($B662,Company_Cat!$B$2:$E$623,2,FALSE),"")</f>
        <v/>
      </c>
      <c r="B662" s="4" t="n"/>
      <c r="C662" s="6">
        <f>IFERROR(VLOOKUP($B662,Company_Cat!$B$2:$H$623,6,FALSE),"")</f>
        <v/>
      </c>
    </row>
    <row r="663">
      <c r="A663" s="6">
        <f>IFERROR(VLOOKUP($B663,Company_Cat!$B$2:$E$623,2,FALSE),"")</f>
        <v/>
      </c>
      <c r="B663" s="4" t="n"/>
      <c r="C663" s="6">
        <f>IFERROR(VLOOKUP($B663,Company_Cat!$B$2:$H$623,6,FALSE),"")</f>
        <v/>
      </c>
    </row>
    <row r="664">
      <c r="A664" s="6">
        <f>IFERROR(VLOOKUP($B664,Company_Cat!$B$2:$E$623,2,FALSE),"")</f>
        <v/>
      </c>
      <c r="B664" s="4" t="n"/>
      <c r="C664" s="6">
        <f>IFERROR(VLOOKUP($B664,Company_Cat!$B$2:$H$623,6,FALSE),"")</f>
        <v/>
      </c>
    </row>
    <row r="665">
      <c r="A665" s="6">
        <f>IFERROR(VLOOKUP($B665,Company_Cat!$B$2:$E$623,2,FALSE),"")</f>
        <v/>
      </c>
      <c r="B665" s="4" t="n"/>
      <c r="C665" s="6">
        <f>IFERROR(VLOOKUP($B665,Company_Cat!$B$2:$H$623,6,FALSE),"")</f>
        <v/>
      </c>
    </row>
    <row r="666">
      <c r="A666" s="6">
        <f>IFERROR(VLOOKUP($B666,Company_Cat!$B$2:$E$623,2,FALSE),"")</f>
        <v/>
      </c>
      <c r="B666" s="4" t="n"/>
      <c r="C666" s="6">
        <f>IFERROR(VLOOKUP($B666,Company_Cat!$B$2:$H$623,6,FALSE),"")</f>
        <v/>
      </c>
    </row>
    <row r="667">
      <c r="A667" s="6">
        <f>IFERROR(VLOOKUP($B667,Company_Cat!$B$2:$E$623,2,FALSE),"")</f>
        <v/>
      </c>
      <c r="B667" s="4" t="n"/>
      <c r="C667" s="6">
        <f>IFERROR(VLOOKUP($B667,Company_Cat!$B$2:$H$623,6,FALSE),"")</f>
        <v/>
      </c>
    </row>
    <row r="668">
      <c r="A668" s="6">
        <f>IFERROR(VLOOKUP($B668,Company_Cat!$B$2:$E$623,2,FALSE),"")</f>
        <v/>
      </c>
      <c r="B668" s="4" t="n"/>
      <c r="C668" s="6">
        <f>IFERROR(VLOOKUP($B668,Company_Cat!$B$2:$H$623,6,FALSE),"")</f>
        <v/>
      </c>
    </row>
    <row r="669">
      <c r="A669" s="6">
        <f>IFERROR(VLOOKUP($B669,Company_Cat!$B$2:$E$623,2,FALSE),"")</f>
        <v/>
      </c>
      <c r="B669" s="4" t="n"/>
      <c r="C669" s="6">
        <f>IFERROR(VLOOKUP($B669,Company_Cat!$B$2:$H$623,6,FALSE),"")</f>
        <v/>
      </c>
    </row>
    <row r="670">
      <c r="A670" s="6">
        <f>IFERROR(VLOOKUP($B670,Company_Cat!$B$2:$E$623,2,FALSE),"")</f>
        <v/>
      </c>
      <c r="B670" s="4" t="n"/>
      <c r="C670" s="6">
        <f>IFERROR(VLOOKUP($B670,Company_Cat!$B$2:$H$623,6,FALSE),"")</f>
        <v/>
      </c>
    </row>
    <row r="671">
      <c r="A671" s="6">
        <f>IFERROR(VLOOKUP($B671,Company_Cat!$B$2:$E$623,2,FALSE),"")</f>
        <v/>
      </c>
      <c r="B671" s="4" t="n"/>
      <c r="C671" s="6">
        <f>IFERROR(VLOOKUP($B671,Company_Cat!$B$2:$H$623,6,FALSE),"")</f>
        <v/>
      </c>
    </row>
    <row r="672">
      <c r="A672" s="6">
        <f>IFERROR(VLOOKUP($B672,Company_Cat!$B$2:$E$623,2,FALSE),"")</f>
        <v/>
      </c>
      <c r="B672" s="4" t="n"/>
      <c r="C672" s="6">
        <f>IFERROR(VLOOKUP($B672,Company_Cat!$B$2:$H$623,6,FALSE),"")</f>
        <v/>
      </c>
    </row>
    <row r="673">
      <c r="A673" s="6">
        <f>IFERROR(VLOOKUP($B673,Company_Cat!$B$2:$E$623,2,FALSE),"")</f>
        <v/>
      </c>
      <c r="B673" s="4" t="n"/>
      <c r="C673" s="6">
        <f>IFERROR(VLOOKUP($B673,Company_Cat!$B$2:$H$623,6,FALSE),"")</f>
        <v/>
      </c>
    </row>
    <row r="674">
      <c r="A674" s="6">
        <f>IFERROR(VLOOKUP($B674,Company_Cat!$B$2:$E$623,2,FALSE),"")</f>
        <v/>
      </c>
      <c r="B674" s="4" t="n"/>
      <c r="C674" s="6">
        <f>IFERROR(VLOOKUP($B674,Company_Cat!$B$2:$H$623,6,FALSE),"")</f>
        <v/>
      </c>
    </row>
    <row r="675">
      <c r="A675" s="6">
        <f>IFERROR(VLOOKUP($B675,Company_Cat!$B$2:$E$623,2,FALSE),"")</f>
        <v/>
      </c>
      <c r="B675" s="4" t="n"/>
      <c r="C675" s="6">
        <f>IFERROR(VLOOKUP($B675,Company_Cat!$B$2:$H$623,6,FALSE),"")</f>
        <v/>
      </c>
    </row>
    <row r="676">
      <c r="A676" s="6">
        <f>IFERROR(VLOOKUP($B676,Company_Cat!$B$2:$E$623,2,FALSE),"")</f>
        <v/>
      </c>
      <c r="B676" s="4" t="n"/>
      <c r="C676" s="6">
        <f>IFERROR(VLOOKUP($B676,Company_Cat!$B$2:$H$623,6,FALSE),"")</f>
        <v/>
      </c>
    </row>
    <row r="677">
      <c r="A677" s="6">
        <f>IFERROR(VLOOKUP($B677,Company_Cat!$B$2:$E$623,2,FALSE),"")</f>
        <v/>
      </c>
      <c r="B677" s="4" t="n"/>
      <c r="C677" s="6">
        <f>IFERROR(VLOOKUP($B677,Company_Cat!$B$2:$H$623,6,FALSE),"")</f>
        <v/>
      </c>
    </row>
    <row r="678">
      <c r="A678" s="6">
        <f>IFERROR(VLOOKUP($B678,Company_Cat!$B$2:$E$623,2,FALSE),"")</f>
        <v/>
      </c>
      <c r="B678" s="4" t="n"/>
      <c r="C678" s="6">
        <f>IFERROR(VLOOKUP($B678,Company_Cat!$B$2:$H$623,6,FALSE),"")</f>
        <v/>
      </c>
    </row>
    <row r="679">
      <c r="A679" s="6">
        <f>IFERROR(VLOOKUP($B679,Company_Cat!$B$2:$E$623,2,FALSE),"")</f>
        <v/>
      </c>
      <c r="B679" s="4" t="n"/>
      <c r="C679" s="6">
        <f>IFERROR(VLOOKUP($B679,Company_Cat!$B$2:$H$623,6,FALSE),"")</f>
        <v/>
      </c>
    </row>
    <row r="680">
      <c r="A680" s="6">
        <f>IFERROR(VLOOKUP($B680,Company_Cat!$B$2:$E$623,2,FALSE),"")</f>
        <v/>
      </c>
      <c r="B680" s="4" t="n"/>
      <c r="C680" s="6">
        <f>IFERROR(VLOOKUP($B680,Company_Cat!$B$2:$H$623,6,FALSE),"")</f>
        <v/>
      </c>
    </row>
    <row r="681">
      <c r="A681" s="6">
        <f>IFERROR(VLOOKUP($B681,Company_Cat!$B$2:$E$623,2,FALSE),"")</f>
        <v/>
      </c>
      <c r="B681" s="4" t="n"/>
      <c r="C681" s="6">
        <f>IFERROR(VLOOKUP($B681,Company_Cat!$B$2:$H$623,6,FALSE),"")</f>
        <v/>
      </c>
    </row>
    <row r="682">
      <c r="A682" s="6">
        <f>IFERROR(VLOOKUP($B682,Company_Cat!$B$2:$E$623,2,FALSE),"")</f>
        <v/>
      </c>
      <c r="B682" s="4" t="n"/>
      <c r="C682" s="6">
        <f>IFERROR(VLOOKUP($B682,Company_Cat!$B$2:$H$623,6,FALSE),"")</f>
        <v/>
      </c>
    </row>
    <row r="683">
      <c r="A683" s="6">
        <f>IFERROR(VLOOKUP($B683,Company_Cat!$B$2:$E$623,2,FALSE),"")</f>
        <v/>
      </c>
      <c r="B683" s="4" t="n"/>
      <c r="C683" s="6">
        <f>IFERROR(VLOOKUP($B683,Company_Cat!$B$2:$H$623,6,FALSE),"")</f>
        <v/>
      </c>
    </row>
    <row r="684">
      <c r="A684" s="6">
        <f>IFERROR(VLOOKUP($B684,Company_Cat!$B$2:$E$623,2,FALSE),"")</f>
        <v/>
      </c>
      <c r="B684" s="4" t="n"/>
      <c r="C684" s="6">
        <f>IFERROR(VLOOKUP($B684,Company_Cat!$B$2:$H$623,6,FALSE),"")</f>
        <v/>
      </c>
    </row>
    <row r="685">
      <c r="A685" s="6">
        <f>IFERROR(VLOOKUP($B685,Company_Cat!$B$2:$E$623,2,FALSE),"")</f>
        <v/>
      </c>
      <c r="B685" s="4" t="n"/>
      <c r="C685" s="6">
        <f>IFERROR(VLOOKUP($B685,Company_Cat!$B$2:$H$623,6,FALSE),"")</f>
        <v/>
      </c>
    </row>
    <row r="686">
      <c r="A686" s="6">
        <f>IFERROR(VLOOKUP($B686,Company_Cat!$B$2:$E$623,2,FALSE),"")</f>
        <v/>
      </c>
      <c r="B686" s="4" t="n"/>
      <c r="C686" s="6">
        <f>IFERROR(VLOOKUP($B686,Company_Cat!$B$2:$H$623,6,FALSE),"")</f>
        <v/>
      </c>
    </row>
    <row r="687">
      <c r="A687" s="6">
        <f>IFERROR(VLOOKUP($B687,Company_Cat!$B$2:$E$623,2,FALSE),"")</f>
        <v/>
      </c>
      <c r="B687" s="4" t="n"/>
      <c r="C687" s="6">
        <f>IFERROR(VLOOKUP($B687,Company_Cat!$B$2:$H$623,6,FALSE),"")</f>
        <v/>
      </c>
    </row>
    <row r="688">
      <c r="A688" s="6">
        <f>IFERROR(VLOOKUP($B688,Company_Cat!$B$2:$E$623,2,FALSE),"")</f>
        <v/>
      </c>
      <c r="B688" s="4" t="n"/>
      <c r="C688" s="6">
        <f>IFERROR(VLOOKUP($B688,Company_Cat!$B$2:$H$623,6,FALSE),"")</f>
        <v/>
      </c>
    </row>
    <row r="689">
      <c r="A689" s="6">
        <f>IFERROR(VLOOKUP($B689,Company_Cat!$B$2:$E$623,2,FALSE),"")</f>
        <v/>
      </c>
      <c r="B689" s="4" t="n"/>
      <c r="C689" s="6">
        <f>IFERROR(VLOOKUP($B689,Company_Cat!$B$2:$H$623,6,FALSE),"")</f>
        <v/>
      </c>
    </row>
    <row r="690">
      <c r="A690" s="6">
        <f>IFERROR(VLOOKUP($B690,Company_Cat!$B$2:$E$623,2,FALSE),"")</f>
        <v/>
      </c>
      <c r="B690" s="4" t="n"/>
      <c r="C690" s="6">
        <f>IFERROR(VLOOKUP($B690,Company_Cat!$B$2:$H$623,6,FALSE),"")</f>
        <v/>
      </c>
    </row>
    <row r="691">
      <c r="A691" s="6">
        <f>IFERROR(VLOOKUP($B691,Company_Cat!$B$2:$E$623,2,FALSE),"")</f>
        <v/>
      </c>
      <c r="B691" s="4" t="n"/>
      <c r="C691" s="6">
        <f>IFERROR(VLOOKUP($B691,Company_Cat!$B$2:$H$623,6,FALSE),"")</f>
        <v/>
      </c>
    </row>
    <row r="692">
      <c r="A692" s="6">
        <f>IFERROR(VLOOKUP($B692,Company_Cat!$B$2:$E$623,2,FALSE),"")</f>
        <v/>
      </c>
      <c r="B692" s="4" t="n"/>
      <c r="C692" s="6">
        <f>IFERROR(VLOOKUP($B692,Company_Cat!$B$2:$H$623,6,FALSE),"")</f>
        <v/>
      </c>
    </row>
    <row r="693">
      <c r="A693" s="6">
        <f>IFERROR(VLOOKUP($B693,Company_Cat!$B$2:$E$623,2,FALSE),"")</f>
        <v/>
      </c>
      <c r="B693" s="4" t="n"/>
      <c r="C693" s="6">
        <f>IFERROR(VLOOKUP($B693,Company_Cat!$B$2:$H$623,6,FALSE),"")</f>
        <v/>
      </c>
    </row>
    <row r="694">
      <c r="A694" s="6">
        <f>IFERROR(VLOOKUP($B694,Company_Cat!$B$2:$E$623,2,FALSE),"")</f>
        <v/>
      </c>
      <c r="B694" s="4" t="n"/>
      <c r="C694" s="6">
        <f>IFERROR(VLOOKUP($B694,Company_Cat!$B$2:$H$623,6,FALSE),"")</f>
        <v/>
      </c>
    </row>
    <row r="695">
      <c r="A695" s="6">
        <f>IFERROR(VLOOKUP($B695,Company_Cat!$B$2:$E$623,2,FALSE),"")</f>
        <v/>
      </c>
      <c r="B695" s="4" t="n"/>
      <c r="C695" s="6">
        <f>IFERROR(VLOOKUP($B695,Company_Cat!$B$2:$H$623,6,FALSE),"")</f>
        <v/>
      </c>
    </row>
    <row r="696">
      <c r="A696" s="6">
        <f>IFERROR(VLOOKUP($B696,Company_Cat!$B$2:$E$623,2,FALSE),"")</f>
        <v/>
      </c>
      <c r="B696" s="4" t="n"/>
      <c r="C696" s="6">
        <f>IFERROR(VLOOKUP($B696,Company_Cat!$B$2:$H$623,6,FALSE),"")</f>
        <v/>
      </c>
    </row>
    <row r="697">
      <c r="A697" s="6">
        <f>IFERROR(VLOOKUP($B697,Company_Cat!$B$2:$E$623,2,FALSE),"")</f>
        <v/>
      </c>
      <c r="B697" s="4" t="n"/>
      <c r="C697" s="6">
        <f>IFERROR(VLOOKUP($B697,Company_Cat!$B$2:$H$623,6,FALSE),"")</f>
        <v/>
      </c>
    </row>
    <row r="698">
      <c r="A698" s="6">
        <f>IFERROR(VLOOKUP($B698,Company_Cat!$B$2:$E$623,2,FALSE),"")</f>
        <v/>
      </c>
      <c r="B698" s="4" t="n"/>
      <c r="C698" s="6">
        <f>IFERROR(VLOOKUP($B698,Company_Cat!$B$2:$H$623,6,FALSE),"")</f>
        <v/>
      </c>
    </row>
    <row r="699">
      <c r="A699" s="6">
        <f>IFERROR(VLOOKUP($B699,Company_Cat!$B$2:$E$623,2,FALSE),"")</f>
        <v/>
      </c>
      <c r="B699" s="4" t="n"/>
      <c r="C699" s="6">
        <f>IFERROR(VLOOKUP($B699,Company_Cat!$B$2:$H$623,6,FALSE),"")</f>
        <v/>
      </c>
    </row>
    <row r="700">
      <c r="A700" s="6">
        <f>IFERROR(VLOOKUP($B700,Company_Cat!$B$2:$E$623,2,FALSE),"")</f>
        <v/>
      </c>
      <c r="B700" s="4" t="n"/>
      <c r="C700" s="6">
        <f>IFERROR(VLOOKUP($B700,Company_Cat!$B$2:$H$623,6,FALSE),"")</f>
        <v/>
      </c>
    </row>
    <row r="701">
      <c r="A701" s="6">
        <f>IFERROR(VLOOKUP($B701,Company_Cat!$B$2:$E$623,2,FALSE),"")</f>
        <v/>
      </c>
      <c r="B701" s="4" t="n"/>
      <c r="C701" s="6">
        <f>IFERROR(VLOOKUP($B701,Company_Cat!$B$2:$H$623,6,FALSE),"")</f>
        <v/>
      </c>
    </row>
    <row r="702">
      <c r="A702" s="6">
        <f>IFERROR(VLOOKUP($B702,Company_Cat!$B$2:$E$623,2,FALSE),"")</f>
        <v/>
      </c>
      <c r="B702" s="4" t="n"/>
      <c r="C702" s="6">
        <f>IFERROR(VLOOKUP($B702,Company_Cat!$B$2:$H$623,6,FALSE),"")</f>
        <v/>
      </c>
    </row>
    <row r="703">
      <c r="A703" s="6">
        <f>IFERROR(VLOOKUP($B703,Company_Cat!$B$2:$E$623,2,FALSE),"")</f>
        <v/>
      </c>
      <c r="B703" s="4" t="n"/>
      <c r="C703" s="6">
        <f>IFERROR(VLOOKUP($B703,Company_Cat!$B$2:$H$623,6,FALSE),"")</f>
        <v/>
      </c>
    </row>
    <row r="704">
      <c r="A704" s="6">
        <f>IFERROR(VLOOKUP($B704,Company_Cat!$B$2:$E$623,2,FALSE),"")</f>
        <v/>
      </c>
      <c r="B704" s="4" t="n"/>
      <c r="C704" s="6">
        <f>IFERROR(VLOOKUP($B704,Company_Cat!$B$2:$H$623,6,FALSE),"")</f>
        <v/>
      </c>
    </row>
    <row r="705">
      <c r="A705" s="6">
        <f>IFERROR(VLOOKUP($B705,Company_Cat!$B$2:$E$623,2,FALSE),"")</f>
        <v/>
      </c>
      <c r="B705" s="4" t="n"/>
      <c r="C705" s="6">
        <f>IFERROR(VLOOKUP($B705,Company_Cat!$B$2:$H$623,6,FALSE),"")</f>
        <v/>
      </c>
    </row>
    <row r="706">
      <c r="A706" s="6">
        <f>IFERROR(VLOOKUP($B706,Company_Cat!$B$2:$E$623,2,FALSE),"")</f>
        <v/>
      </c>
      <c r="B706" s="4" t="n"/>
      <c r="C706" s="6">
        <f>IFERROR(VLOOKUP($B706,Company_Cat!$B$2:$H$623,6,FALSE),"")</f>
        <v/>
      </c>
    </row>
    <row r="707">
      <c r="A707" s="6">
        <f>IFERROR(VLOOKUP($B707,Company_Cat!$B$2:$E$623,2,FALSE),"")</f>
        <v/>
      </c>
      <c r="B707" s="4" t="n"/>
      <c r="C707" s="6">
        <f>IFERROR(VLOOKUP($B707,Company_Cat!$B$2:$H$623,6,FALSE),"")</f>
        <v/>
      </c>
    </row>
    <row r="708">
      <c r="A708" s="6">
        <f>IFERROR(VLOOKUP($B708,Company_Cat!$B$2:$E$623,2,FALSE),"")</f>
        <v/>
      </c>
      <c r="B708" s="4" t="n"/>
      <c r="C708" s="6">
        <f>IFERROR(VLOOKUP($B708,Company_Cat!$B$2:$H$623,6,FALSE),"")</f>
        <v/>
      </c>
    </row>
    <row r="709">
      <c r="A709" s="6">
        <f>IFERROR(VLOOKUP($B709,Company_Cat!$B$2:$E$623,2,FALSE),"")</f>
        <v/>
      </c>
      <c r="B709" s="4" t="n"/>
      <c r="C709" s="6">
        <f>IFERROR(VLOOKUP($B709,Company_Cat!$B$2:$H$623,6,FALSE),"")</f>
        <v/>
      </c>
    </row>
    <row r="710">
      <c r="A710" s="6">
        <f>IFERROR(VLOOKUP($B710,Company_Cat!$B$2:$E$623,2,FALSE),"")</f>
        <v/>
      </c>
      <c r="B710" s="4" t="n"/>
      <c r="C710" s="6">
        <f>IFERROR(VLOOKUP($B710,Company_Cat!$B$2:$H$623,6,FALSE),"")</f>
        <v/>
      </c>
    </row>
    <row r="711">
      <c r="A711" s="6">
        <f>IFERROR(VLOOKUP($B711,Company_Cat!$B$2:$E$623,2,FALSE),"")</f>
        <v/>
      </c>
      <c r="B711" s="4" t="n"/>
      <c r="C711" s="6">
        <f>IFERROR(VLOOKUP($B711,Company_Cat!$B$2:$H$623,6,FALSE),"")</f>
        <v/>
      </c>
    </row>
    <row r="712">
      <c r="A712" s="6">
        <f>IFERROR(VLOOKUP($B712,Company_Cat!$B$2:$E$623,2,FALSE),"")</f>
        <v/>
      </c>
      <c r="B712" s="4" t="n"/>
      <c r="C712" s="6">
        <f>IFERROR(VLOOKUP($B712,Company_Cat!$B$2:$H$623,6,FALSE),"")</f>
        <v/>
      </c>
    </row>
    <row r="713">
      <c r="A713" s="6">
        <f>IFERROR(VLOOKUP($B713,Company_Cat!$B$2:$E$623,2,FALSE),"")</f>
        <v/>
      </c>
      <c r="B713" s="4" t="n"/>
      <c r="C713" s="6">
        <f>IFERROR(VLOOKUP($B713,Company_Cat!$B$2:$H$623,6,FALSE),"")</f>
        <v/>
      </c>
    </row>
    <row r="714">
      <c r="A714" s="6">
        <f>IFERROR(VLOOKUP($B714,Company_Cat!$B$2:$E$623,2,FALSE),"")</f>
        <v/>
      </c>
      <c r="B714" s="4" t="n"/>
      <c r="C714" s="6">
        <f>IFERROR(VLOOKUP($B714,Company_Cat!$B$2:$H$623,6,FALSE),"")</f>
        <v/>
      </c>
    </row>
    <row r="715">
      <c r="A715" s="6">
        <f>IFERROR(VLOOKUP($B715,Company_Cat!$B$2:$E$623,2,FALSE),"")</f>
        <v/>
      </c>
      <c r="B715" s="4" t="n"/>
      <c r="C715" s="6">
        <f>IFERROR(VLOOKUP($B715,Company_Cat!$B$2:$H$623,6,FALSE),"")</f>
        <v/>
      </c>
    </row>
    <row r="716">
      <c r="A716" s="6">
        <f>IFERROR(VLOOKUP($B716,Company_Cat!$B$2:$E$623,2,FALSE),"")</f>
        <v/>
      </c>
      <c r="B716" s="4" t="n"/>
      <c r="C716" s="6">
        <f>IFERROR(VLOOKUP($B716,Company_Cat!$B$2:$H$623,6,FALSE),"")</f>
        <v/>
      </c>
    </row>
    <row r="717">
      <c r="A717" s="6">
        <f>IFERROR(VLOOKUP($B717,Company_Cat!$B$2:$E$623,2,FALSE),"")</f>
        <v/>
      </c>
      <c r="B717" s="4" t="n"/>
      <c r="C717" s="6">
        <f>IFERROR(VLOOKUP($B717,Company_Cat!$B$2:$H$623,6,FALSE),"")</f>
        <v/>
      </c>
    </row>
    <row r="718">
      <c r="A718" s="6">
        <f>IFERROR(VLOOKUP($B718,Company_Cat!$B$2:$E$623,2,FALSE),"")</f>
        <v/>
      </c>
      <c r="B718" s="4" t="n"/>
      <c r="C718" s="6">
        <f>IFERROR(VLOOKUP($B718,Company_Cat!$B$2:$H$623,6,FALSE),"")</f>
        <v/>
      </c>
    </row>
    <row r="719">
      <c r="A719" s="6">
        <f>IFERROR(VLOOKUP($B719,Company_Cat!$B$2:$E$623,2,FALSE),"")</f>
        <v/>
      </c>
      <c r="B719" s="4" t="n"/>
      <c r="C719" s="6">
        <f>IFERROR(VLOOKUP($B719,Company_Cat!$B$2:$H$623,6,FALSE),"")</f>
        <v/>
      </c>
    </row>
    <row r="720">
      <c r="A720" s="6">
        <f>IFERROR(VLOOKUP($B720,Company_Cat!$B$2:$E$623,2,FALSE),"")</f>
        <v/>
      </c>
      <c r="B720" s="4" t="n"/>
      <c r="C720" s="6">
        <f>IFERROR(VLOOKUP($B720,Company_Cat!$B$2:$H$623,6,FALSE),"")</f>
        <v/>
      </c>
    </row>
    <row r="721">
      <c r="A721" s="6">
        <f>IFERROR(VLOOKUP($B721,Company_Cat!$B$2:$E$623,2,FALSE),"")</f>
        <v/>
      </c>
      <c r="B721" s="4" t="n"/>
      <c r="C721" s="6">
        <f>IFERROR(VLOOKUP($B721,Company_Cat!$B$2:$H$623,6,FALSE),"")</f>
        <v/>
      </c>
    </row>
    <row r="722">
      <c r="A722" s="6">
        <f>IFERROR(VLOOKUP($B722,Company_Cat!$B$2:$E$623,2,FALSE),"")</f>
        <v/>
      </c>
      <c r="B722" s="4" t="n"/>
      <c r="C722" s="6">
        <f>IFERROR(VLOOKUP($B722,Company_Cat!$B$2:$H$623,6,FALSE),"")</f>
        <v/>
      </c>
    </row>
    <row r="723">
      <c r="A723" s="6">
        <f>IFERROR(VLOOKUP($B723,Company_Cat!$B$2:$E$623,2,FALSE),"")</f>
        <v/>
      </c>
      <c r="B723" s="4" t="n"/>
      <c r="C723" s="6">
        <f>IFERROR(VLOOKUP($B723,Company_Cat!$B$2:$H$623,6,FALSE),"")</f>
        <v/>
      </c>
    </row>
    <row r="724">
      <c r="A724" s="6">
        <f>IFERROR(VLOOKUP($B724,Company_Cat!$B$2:$E$623,2,FALSE),"")</f>
        <v/>
      </c>
      <c r="B724" s="4" t="n"/>
      <c r="C724" s="6">
        <f>IFERROR(VLOOKUP($B724,Company_Cat!$B$2:$H$623,6,FALSE),"")</f>
        <v/>
      </c>
    </row>
    <row r="725">
      <c r="A725" s="6">
        <f>IFERROR(VLOOKUP($B725,Company_Cat!$B$2:$E$623,2,FALSE),"")</f>
        <v/>
      </c>
      <c r="B725" s="4" t="n"/>
      <c r="C725" s="6">
        <f>IFERROR(VLOOKUP($B725,Company_Cat!$B$2:$H$623,6,FALSE),"")</f>
        <v/>
      </c>
    </row>
    <row r="726">
      <c r="A726" s="6">
        <f>IFERROR(VLOOKUP($B726,Company_Cat!$B$2:$E$623,2,FALSE),"")</f>
        <v/>
      </c>
      <c r="B726" s="4" t="n"/>
      <c r="C726" s="6">
        <f>IFERROR(VLOOKUP($B726,Company_Cat!$B$2:$H$623,6,FALSE),"")</f>
        <v/>
      </c>
    </row>
    <row r="727">
      <c r="A727" s="6">
        <f>IFERROR(VLOOKUP($B727,Company_Cat!$B$2:$E$623,2,FALSE),"")</f>
        <v/>
      </c>
      <c r="B727" s="4" t="n"/>
      <c r="C727" s="6">
        <f>IFERROR(VLOOKUP($B727,Company_Cat!$B$2:$H$623,6,FALSE),"")</f>
        <v/>
      </c>
    </row>
    <row r="728">
      <c r="A728" s="6">
        <f>IFERROR(VLOOKUP($B728,Company_Cat!$B$2:$E$623,2,FALSE),"")</f>
        <v/>
      </c>
      <c r="B728" s="4" t="n"/>
      <c r="C728" s="6">
        <f>IFERROR(VLOOKUP($B728,Company_Cat!$B$2:$H$623,6,FALSE),"")</f>
        <v/>
      </c>
    </row>
    <row r="729">
      <c r="A729" s="6">
        <f>IFERROR(VLOOKUP($B729,Company_Cat!$B$2:$E$623,2,FALSE),"")</f>
        <v/>
      </c>
      <c r="B729" s="4" t="n"/>
      <c r="C729" s="6">
        <f>IFERROR(VLOOKUP($B729,Company_Cat!$B$2:$H$623,6,FALSE),"")</f>
        <v/>
      </c>
    </row>
    <row r="730">
      <c r="A730" s="6">
        <f>IFERROR(VLOOKUP($B730,Company_Cat!$B$2:$E$623,2,FALSE),"")</f>
        <v/>
      </c>
      <c r="B730" s="4" t="n"/>
      <c r="C730" s="6">
        <f>IFERROR(VLOOKUP($B730,Company_Cat!$B$2:$H$623,6,FALSE),"")</f>
        <v/>
      </c>
    </row>
    <row r="731">
      <c r="A731" s="6">
        <f>IFERROR(VLOOKUP($B731,Company_Cat!$B$2:$E$623,2,FALSE),"")</f>
        <v/>
      </c>
      <c r="B731" s="4" t="n"/>
      <c r="C731" s="6">
        <f>IFERROR(VLOOKUP($B731,Company_Cat!$B$2:$H$623,6,FALSE),"")</f>
        <v/>
      </c>
    </row>
    <row r="732">
      <c r="A732" s="6">
        <f>IFERROR(VLOOKUP($B732,Company_Cat!$B$2:$E$623,2,FALSE),"")</f>
        <v/>
      </c>
      <c r="B732" s="4" t="n"/>
      <c r="C732" s="6">
        <f>IFERROR(VLOOKUP($B732,Company_Cat!$B$2:$H$623,6,FALSE),"")</f>
        <v/>
      </c>
    </row>
    <row r="733">
      <c r="A733" s="6">
        <f>IFERROR(VLOOKUP($B733,Company_Cat!$B$2:$E$623,2,FALSE),"")</f>
        <v/>
      </c>
      <c r="B733" s="4" t="n"/>
      <c r="C733" s="6">
        <f>IFERROR(VLOOKUP($B733,Company_Cat!$B$2:$H$623,6,FALSE),"")</f>
        <v/>
      </c>
    </row>
    <row r="734">
      <c r="A734" s="6">
        <f>IFERROR(VLOOKUP($B734,Company_Cat!$B$2:$E$623,2,FALSE),"")</f>
        <v/>
      </c>
      <c r="B734" s="4" t="n"/>
      <c r="C734" s="6">
        <f>IFERROR(VLOOKUP($B734,Company_Cat!$B$2:$H$623,6,FALSE),"")</f>
        <v/>
      </c>
    </row>
    <row r="735">
      <c r="A735" s="6">
        <f>IFERROR(VLOOKUP($B735,Company_Cat!$B$2:$E$623,2,FALSE),"")</f>
        <v/>
      </c>
      <c r="B735" s="4" t="n"/>
      <c r="C735" s="6">
        <f>IFERROR(VLOOKUP($B735,Company_Cat!$B$2:$H$623,6,FALSE),"")</f>
        <v/>
      </c>
    </row>
    <row r="736">
      <c r="A736" s="6">
        <f>IFERROR(VLOOKUP($B736,Company_Cat!$B$2:$E$623,2,FALSE),"")</f>
        <v/>
      </c>
      <c r="B736" s="4" t="n"/>
      <c r="C736" s="6">
        <f>IFERROR(VLOOKUP($B736,Company_Cat!$B$2:$H$623,6,FALSE),"")</f>
        <v/>
      </c>
    </row>
    <row r="737">
      <c r="A737" s="6">
        <f>IFERROR(VLOOKUP($B737,Company_Cat!$B$2:$E$623,2,FALSE),"")</f>
        <v/>
      </c>
      <c r="B737" s="4" t="n"/>
      <c r="C737" s="6">
        <f>IFERROR(VLOOKUP($B737,Company_Cat!$B$2:$H$623,6,FALSE),"")</f>
        <v/>
      </c>
    </row>
    <row r="738">
      <c r="A738" s="6">
        <f>IFERROR(VLOOKUP($B738,Company_Cat!$B$2:$E$623,2,FALSE),"")</f>
        <v/>
      </c>
      <c r="B738" s="4" t="n"/>
      <c r="C738" s="6">
        <f>IFERROR(VLOOKUP($B738,Company_Cat!$B$2:$H$623,6,FALSE),"")</f>
        <v/>
      </c>
    </row>
    <row r="739">
      <c r="A739" s="6">
        <f>IFERROR(VLOOKUP($B739,Company_Cat!$B$2:$E$623,2,FALSE),"")</f>
        <v/>
      </c>
      <c r="B739" s="4" t="n"/>
      <c r="C739" s="6">
        <f>IFERROR(VLOOKUP($B739,Company_Cat!$B$2:$H$623,6,FALSE),"")</f>
        <v/>
      </c>
    </row>
    <row r="740">
      <c r="A740" s="6">
        <f>IFERROR(VLOOKUP($B740,Company_Cat!$B$2:$E$623,2,FALSE),"")</f>
        <v/>
      </c>
      <c r="B740" s="4" t="n"/>
      <c r="C740" s="6">
        <f>IFERROR(VLOOKUP($B740,Company_Cat!$B$2:$H$623,6,FALSE),"")</f>
        <v/>
      </c>
    </row>
    <row r="741">
      <c r="A741" s="6">
        <f>IFERROR(VLOOKUP($B741,Company_Cat!$B$2:$E$623,2,FALSE),"")</f>
        <v/>
      </c>
      <c r="B741" s="4" t="n"/>
      <c r="C741" s="6">
        <f>IFERROR(VLOOKUP($B741,Company_Cat!$B$2:$H$623,6,FALSE),"")</f>
        <v/>
      </c>
    </row>
    <row r="742">
      <c r="A742" s="6">
        <f>IFERROR(VLOOKUP($B742,Company_Cat!$B$2:$E$623,2,FALSE),"")</f>
        <v/>
      </c>
      <c r="B742" s="4" t="n"/>
      <c r="C742" s="6">
        <f>IFERROR(VLOOKUP($B742,Company_Cat!$B$2:$H$623,6,FALSE),"")</f>
        <v/>
      </c>
    </row>
    <row r="743">
      <c r="A743" s="6">
        <f>IFERROR(VLOOKUP($B743,Company_Cat!$B$2:$E$623,2,FALSE),"")</f>
        <v/>
      </c>
      <c r="B743" s="4" t="n"/>
      <c r="C743" s="6">
        <f>IFERROR(VLOOKUP($B743,Company_Cat!$B$2:$H$623,6,FALSE),"")</f>
        <v/>
      </c>
    </row>
    <row r="744">
      <c r="A744" s="6">
        <f>IFERROR(VLOOKUP($B744,Company_Cat!$B$2:$E$623,2,FALSE),"")</f>
        <v/>
      </c>
      <c r="B744" s="4" t="n"/>
      <c r="C744" s="6">
        <f>IFERROR(VLOOKUP($B744,Company_Cat!$B$2:$H$623,6,FALSE),"")</f>
        <v/>
      </c>
    </row>
    <row r="745">
      <c r="A745" s="6">
        <f>IFERROR(VLOOKUP($B745,Company_Cat!$B$2:$E$623,2,FALSE),"")</f>
        <v/>
      </c>
      <c r="B745" s="4" t="n"/>
      <c r="C745" s="6">
        <f>IFERROR(VLOOKUP($B745,Company_Cat!$B$2:$H$623,6,FALSE),"")</f>
        <v/>
      </c>
    </row>
    <row r="746">
      <c r="A746" s="6">
        <f>IFERROR(VLOOKUP($B746,Company_Cat!$B$2:$E$623,2,FALSE),"")</f>
        <v/>
      </c>
      <c r="B746" s="4" t="n"/>
      <c r="C746" s="6">
        <f>IFERROR(VLOOKUP($B746,Company_Cat!$B$2:$H$623,6,FALSE),"")</f>
        <v/>
      </c>
    </row>
    <row r="747">
      <c r="A747" s="6">
        <f>IFERROR(VLOOKUP($B747,Company_Cat!$B$2:$E$623,2,FALSE),"")</f>
        <v/>
      </c>
      <c r="B747" s="4" t="n"/>
      <c r="C747" s="6">
        <f>IFERROR(VLOOKUP($B747,Company_Cat!$B$2:$H$623,6,FALSE),"")</f>
        <v/>
      </c>
    </row>
    <row r="748">
      <c r="A748" s="6">
        <f>IFERROR(VLOOKUP($B748,Company_Cat!$B$2:$E$623,2,FALSE),"")</f>
        <v/>
      </c>
      <c r="B748" s="4" t="n"/>
      <c r="C748" s="6">
        <f>IFERROR(VLOOKUP($B748,Company_Cat!$B$2:$H$623,6,FALSE),"")</f>
        <v/>
      </c>
    </row>
    <row r="749">
      <c r="A749" s="6">
        <f>IFERROR(VLOOKUP($B749,Company_Cat!$B$2:$E$623,2,FALSE),"")</f>
        <v/>
      </c>
      <c r="B749" s="4" t="n"/>
      <c r="C749" s="6">
        <f>IFERROR(VLOOKUP($B749,Company_Cat!$B$2:$H$623,6,FALSE),"")</f>
        <v/>
      </c>
    </row>
    <row r="750">
      <c r="A750" s="6">
        <f>IFERROR(VLOOKUP($B750,Company_Cat!$B$2:$E$623,2,FALSE),"")</f>
        <v/>
      </c>
      <c r="B750" s="4" t="n"/>
      <c r="C750" s="6">
        <f>IFERROR(VLOOKUP($B750,Company_Cat!$B$2:$H$623,6,FALSE),"")</f>
        <v/>
      </c>
    </row>
    <row r="751">
      <c r="A751" s="6">
        <f>IFERROR(VLOOKUP($B751,Company_Cat!$B$2:$E$623,2,FALSE),"")</f>
        <v/>
      </c>
      <c r="B751" s="4" t="n"/>
      <c r="C751" s="6">
        <f>IFERROR(VLOOKUP($B751,Company_Cat!$B$2:$H$623,6,FALSE),"")</f>
        <v/>
      </c>
    </row>
    <row r="752">
      <c r="A752" s="6">
        <f>IFERROR(VLOOKUP($B752,Company_Cat!$B$2:$E$623,2,FALSE),"")</f>
        <v/>
      </c>
      <c r="B752" s="4" t="n"/>
      <c r="C752" s="6">
        <f>IFERROR(VLOOKUP($B752,Company_Cat!$B$2:$H$623,6,FALSE),"")</f>
        <v/>
      </c>
    </row>
    <row r="753">
      <c r="A753" s="6">
        <f>IFERROR(VLOOKUP($B753,Company_Cat!$B$2:$E$623,2,FALSE),"")</f>
        <v/>
      </c>
      <c r="B753" s="4" t="n"/>
      <c r="C753" s="6">
        <f>IFERROR(VLOOKUP($B753,Company_Cat!$B$2:$H$623,6,FALSE),"")</f>
        <v/>
      </c>
    </row>
    <row r="754">
      <c r="A754" s="6">
        <f>IFERROR(VLOOKUP($B754,Company_Cat!$B$2:$E$623,2,FALSE),"")</f>
        <v/>
      </c>
      <c r="B754" s="4" t="n"/>
      <c r="C754" s="6">
        <f>IFERROR(VLOOKUP($B754,Company_Cat!$B$2:$H$623,6,FALSE),"")</f>
        <v/>
      </c>
    </row>
    <row r="755">
      <c r="A755" s="6">
        <f>IFERROR(VLOOKUP($B755,Company_Cat!$B$2:$E$623,2,FALSE),"")</f>
        <v/>
      </c>
      <c r="B755" s="4" t="n"/>
      <c r="C755" s="6">
        <f>IFERROR(VLOOKUP($B755,Company_Cat!$B$2:$H$623,6,FALSE),"")</f>
        <v/>
      </c>
    </row>
    <row r="756">
      <c r="A756" s="6">
        <f>IFERROR(VLOOKUP($B756,Company_Cat!$B$2:$E$623,2,FALSE),"")</f>
        <v/>
      </c>
      <c r="B756" s="4" t="n"/>
      <c r="C756" s="6">
        <f>IFERROR(VLOOKUP($B756,Company_Cat!$B$2:$H$623,6,FALSE),"")</f>
        <v/>
      </c>
    </row>
    <row r="757">
      <c r="A757" s="6">
        <f>IFERROR(VLOOKUP($B757,Company_Cat!$B$2:$E$623,2,FALSE),"")</f>
        <v/>
      </c>
      <c r="B757" s="4" t="n"/>
      <c r="C757" s="6">
        <f>IFERROR(VLOOKUP($B757,Company_Cat!$B$2:$H$623,6,FALSE),"")</f>
        <v/>
      </c>
    </row>
    <row r="758">
      <c r="A758" s="6">
        <f>IFERROR(VLOOKUP($B758,Company_Cat!$B$2:$E$623,2,FALSE),"")</f>
        <v/>
      </c>
      <c r="B758" s="4" t="n"/>
      <c r="C758" s="6">
        <f>IFERROR(VLOOKUP($B758,Company_Cat!$B$2:$H$623,6,FALSE),"")</f>
        <v/>
      </c>
    </row>
    <row r="759">
      <c r="A759" s="6">
        <f>IFERROR(VLOOKUP($B759,Company_Cat!$B$2:$E$623,2,FALSE),"")</f>
        <v/>
      </c>
      <c r="B759" s="4" t="n"/>
      <c r="C759" s="6">
        <f>IFERROR(VLOOKUP($B759,Company_Cat!$B$2:$H$623,6,FALSE),"")</f>
        <v/>
      </c>
    </row>
    <row r="760">
      <c r="A760" s="6">
        <f>IFERROR(VLOOKUP($B760,Company_Cat!$B$2:$E$623,2,FALSE),"")</f>
        <v/>
      </c>
      <c r="B760" s="4" t="n"/>
      <c r="C760" s="6">
        <f>IFERROR(VLOOKUP($B760,Company_Cat!$B$2:$H$623,6,FALSE),"")</f>
        <v/>
      </c>
    </row>
    <row r="761">
      <c r="A761" s="6">
        <f>IFERROR(VLOOKUP($B761,Company_Cat!$B$2:$E$623,2,FALSE),"")</f>
        <v/>
      </c>
      <c r="B761" s="4" t="n"/>
      <c r="C761" s="6">
        <f>IFERROR(VLOOKUP($B761,Company_Cat!$B$2:$H$623,6,FALSE),"")</f>
        <v/>
      </c>
    </row>
    <row r="762">
      <c r="A762" s="6">
        <f>IFERROR(VLOOKUP($B762,Company_Cat!$B$2:$E$623,2,FALSE),"")</f>
        <v/>
      </c>
      <c r="B762" s="4" t="n"/>
      <c r="C762" s="6">
        <f>IFERROR(VLOOKUP($B762,Company_Cat!$B$2:$H$623,6,FALSE),"")</f>
        <v/>
      </c>
    </row>
    <row r="763">
      <c r="A763" s="6">
        <f>IFERROR(VLOOKUP($B763,Company_Cat!$B$2:$E$623,2,FALSE),"")</f>
        <v/>
      </c>
      <c r="B763" s="4" t="n"/>
      <c r="C763" s="6">
        <f>IFERROR(VLOOKUP($B763,Company_Cat!$B$2:$H$623,6,FALSE),"")</f>
        <v/>
      </c>
    </row>
    <row r="764">
      <c r="A764" s="6">
        <f>IFERROR(VLOOKUP($B764,Company_Cat!$B$2:$E$623,2,FALSE),"")</f>
        <v/>
      </c>
      <c r="B764" s="4" t="n"/>
      <c r="C764" s="6">
        <f>IFERROR(VLOOKUP($B764,Company_Cat!$B$2:$H$623,6,FALSE),"")</f>
        <v/>
      </c>
    </row>
    <row r="765">
      <c r="A765" s="6">
        <f>IFERROR(VLOOKUP($B765,Company_Cat!$B$2:$E$623,2,FALSE),"")</f>
        <v/>
      </c>
      <c r="B765" s="4" t="n"/>
      <c r="C765" s="6">
        <f>IFERROR(VLOOKUP($B765,Company_Cat!$B$2:$H$623,6,FALSE),"")</f>
        <v/>
      </c>
    </row>
    <row r="766">
      <c r="A766" s="6">
        <f>IFERROR(VLOOKUP($B766,Company_Cat!$B$2:$E$623,2,FALSE),"")</f>
        <v/>
      </c>
      <c r="B766" s="4" t="n"/>
      <c r="C766" s="6">
        <f>IFERROR(VLOOKUP($B766,Company_Cat!$B$2:$H$623,6,FALSE),"")</f>
        <v/>
      </c>
    </row>
    <row r="767">
      <c r="A767" s="6">
        <f>IFERROR(VLOOKUP($B767,Company_Cat!$B$2:$E$623,2,FALSE),"")</f>
        <v/>
      </c>
      <c r="B767" s="4" t="n"/>
      <c r="C767" s="6">
        <f>IFERROR(VLOOKUP($B767,Company_Cat!$B$2:$H$623,6,FALSE),"")</f>
        <v/>
      </c>
    </row>
    <row r="768">
      <c r="A768" s="6">
        <f>IFERROR(VLOOKUP($B768,Company_Cat!$B$2:$E$623,2,FALSE),"")</f>
        <v/>
      </c>
      <c r="B768" s="4" t="n"/>
      <c r="C768" s="6">
        <f>IFERROR(VLOOKUP($B768,Company_Cat!$B$2:$H$623,6,FALSE),"")</f>
        <v/>
      </c>
    </row>
    <row r="769">
      <c r="A769" s="6">
        <f>IFERROR(VLOOKUP($B769,Company_Cat!$B$2:$E$623,2,FALSE),"")</f>
        <v/>
      </c>
      <c r="B769" s="4" t="n"/>
      <c r="C769" s="6">
        <f>IFERROR(VLOOKUP($B769,Company_Cat!$B$2:$H$623,6,FALSE),"")</f>
        <v/>
      </c>
    </row>
    <row r="770">
      <c r="A770" s="6">
        <f>IFERROR(VLOOKUP($B770,Company_Cat!$B$2:$E$623,2,FALSE),"")</f>
        <v/>
      </c>
      <c r="B770" s="4" t="n"/>
      <c r="C770" s="6">
        <f>IFERROR(VLOOKUP($B770,Company_Cat!$B$2:$H$623,6,FALSE),"")</f>
        <v/>
      </c>
    </row>
    <row r="771">
      <c r="A771" s="6">
        <f>IFERROR(VLOOKUP($B771,Company_Cat!$B$2:$E$623,2,FALSE),"")</f>
        <v/>
      </c>
      <c r="B771" s="4" t="n"/>
      <c r="C771" s="6">
        <f>IFERROR(VLOOKUP($B771,Company_Cat!$B$2:$H$623,6,FALSE),"")</f>
        <v/>
      </c>
    </row>
    <row r="772">
      <c r="A772" s="6">
        <f>IFERROR(VLOOKUP($B772,Company_Cat!$B$2:$E$623,2,FALSE),"")</f>
        <v/>
      </c>
      <c r="B772" s="4" t="n"/>
      <c r="C772" s="6">
        <f>IFERROR(VLOOKUP($B772,Company_Cat!$B$2:$H$623,6,FALSE),"")</f>
        <v/>
      </c>
    </row>
    <row r="773">
      <c r="A773" s="6">
        <f>IFERROR(VLOOKUP($B773,Company_Cat!$B$2:$E$623,2,FALSE),"")</f>
        <v/>
      </c>
      <c r="B773" s="4" t="n"/>
      <c r="C773" s="6">
        <f>IFERROR(VLOOKUP($B773,Company_Cat!$B$2:$H$623,6,FALSE),"")</f>
        <v/>
      </c>
    </row>
    <row r="774">
      <c r="A774" s="6">
        <f>IFERROR(VLOOKUP($B774,Company_Cat!$B$2:$E$623,2,FALSE),"")</f>
        <v/>
      </c>
      <c r="B774" s="4" t="n"/>
      <c r="C774" s="6">
        <f>IFERROR(VLOOKUP($B774,Company_Cat!$B$2:$H$623,6,FALSE),"")</f>
        <v/>
      </c>
    </row>
    <row r="775">
      <c r="A775" s="6">
        <f>IFERROR(VLOOKUP($B775,Company_Cat!$B$2:$E$623,2,FALSE),"")</f>
        <v/>
      </c>
      <c r="B775" s="4" t="n"/>
      <c r="C775" s="6">
        <f>IFERROR(VLOOKUP($B775,Company_Cat!$B$2:$H$623,6,FALSE),"")</f>
        <v/>
      </c>
    </row>
    <row r="776">
      <c r="A776" s="6">
        <f>IFERROR(VLOOKUP($B776,Company_Cat!$B$2:$E$623,2,FALSE),"")</f>
        <v/>
      </c>
      <c r="B776" s="4" t="n"/>
      <c r="C776" s="6">
        <f>IFERROR(VLOOKUP($B776,Company_Cat!$B$2:$H$623,6,FALSE),"")</f>
        <v/>
      </c>
    </row>
    <row r="777">
      <c r="A777" s="6">
        <f>IFERROR(VLOOKUP($B777,Company_Cat!$B$2:$E$623,2,FALSE),"")</f>
        <v/>
      </c>
      <c r="B777" s="4" t="n"/>
      <c r="C777" s="6">
        <f>IFERROR(VLOOKUP($B777,Company_Cat!$B$2:$H$623,6,FALSE),"")</f>
        <v/>
      </c>
    </row>
    <row r="778">
      <c r="A778" s="6">
        <f>IFERROR(VLOOKUP($B778,Company_Cat!$B$2:$E$623,2,FALSE),"")</f>
        <v/>
      </c>
      <c r="B778" s="4" t="n"/>
      <c r="C778" s="6">
        <f>IFERROR(VLOOKUP($B778,Company_Cat!$B$2:$H$623,6,FALSE),"")</f>
        <v/>
      </c>
    </row>
    <row r="779">
      <c r="A779" s="6">
        <f>IFERROR(VLOOKUP($B779,Company_Cat!$B$2:$E$623,2,FALSE),"")</f>
        <v/>
      </c>
      <c r="B779" s="4" t="n"/>
      <c r="C779" s="6">
        <f>IFERROR(VLOOKUP($B779,Company_Cat!$B$2:$H$623,6,FALSE),"")</f>
        <v/>
      </c>
    </row>
    <row r="780">
      <c r="A780" s="6">
        <f>IFERROR(VLOOKUP($B780,Company_Cat!$B$2:$E$623,2,FALSE),"")</f>
        <v/>
      </c>
      <c r="B780" s="4" t="n"/>
      <c r="C780" s="6">
        <f>IFERROR(VLOOKUP($B780,Company_Cat!$B$2:$H$623,6,FALSE),"")</f>
        <v/>
      </c>
    </row>
    <row r="781">
      <c r="A781" s="6">
        <f>IFERROR(VLOOKUP($B781,Company_Cat!$B$2:$E$623,2,FALSE),"")</f>
        <v/>
      </c>
      <c r="B781" s="4" t="n"/>
      <c r="C781" s="6">
        <f>IFERROR(VLOOKUP($B781,Company_Cat!$B$2:$H$623,6,FALSE),"")</f>
        <v/>
      </c>
    </row>
    <row r="782">
      <c r="A782" s="6">
        <f>IFERROR(VLOOKUP($B782,Company_Cat!$B$2:$E$623,2,FALSE),"")</f>
        <v/>
      </c>
      <c r="B782" s="4" t="n"/>
      <c r="C782" s="6">
        <f>IFERROR(VLOOKUP($B782,Company_Cat!$B$2:$H$623,6,FALSE),"")</f>
        <v/>
      </c>
    </row>
    <row r="783">
      <c r="A783" s="6">
        <f>IFERROR(VLOOKUP($B783,Company_Cat!$B$2:$E$623,2,FALSE),"")</f>
        <v/>
      </c>
      <c r="B783" s="4" t="n"/>
      <c r="C783" s="6">
        <f>IFERROR(VLOOKUP($B783,Company_Cat!$B$2:$H$623,6,FALSE),"")</f>
        <v/>
      </c>
    </row>
    <row r="784">
      <c r="A784" s="6">
        <f>IFERROR(VLOOKUP($B784,Company_Cat!$B$2:$E$623,2,FALSE),"")</f>
        <v/>
      </c>
      <c r="B784" s="4" t="n"/>
      <c r="C784" s="6">
        <f>IFERROR(VLOOKUP($B784,Company_Cat!$B$2:$H$623,6,FALSE),"")</f>
        <v/>
      </c>
    </row>
    <row r="785">
      <c r="A785" s="6">
        <f>IFERROR(VLOOKUP($B785,Company_Cat!$B$2:$E$623,2,FALSE),"")</f>
        <v/>
      </c>
      <c r="B785" s="4" t="n"/>
      <c r="C785" s="6">
        <f>IFERROR(VLOOKUP($B785,Company_Cat!$B$2:$H$623,6,FALSE),"")</f>
        <v/>
      </c>
    </row>
    <row r="786">
      <c r="A786" s="6">
        <f>IFERROR(VLOOKUP($B786,Company_Cat!$B$2:$E$623,2,FALSE),"")</f>
        <v/>
      </c>
      <c r="B786" s="4" t="n"/>
      <c r="C786" s="6">
        <f>IFERROR(VLOOKUP($B786,Company_Cat!$B$2:$H$623,6,FALSE),"")</f>
        <v/>
      </c>
    </row>
    <row r="787">
      <c r="A787" s="6">
        <f>IFERROR(VLOOKUP($B787,Company_Cat!$B$2:$E$623,2,FALSE),"")</f>
        <v/>
      </c>
      <c r="B787" s="4" t="n"/>
      <c r="C787" s="6">
        <f>IFERROR(VLOOKUP($B787,Company_Cat!$B$2:$H$623,6,FALSE),"")</f>
        <v/>
      </c>
    </row>
    <row r="788">
      <c r="A788" s="6">
        <f>IFERROR(VLOOKUP($B788,Company_Cat!$B$2:$E$623,2,FALSE),"")</f>
        <v/>
      </c>
      <c r="B788" s="4" t="n"/>
      <c r="C788" s="6">
        <f>IFERROR(VLOOKUP($B788,Company_Cat!$B$2:$H$623,6,FALSE),"")</f>
        <v/>
      </c>
    </row>
    <row r="789">
      <c r="A789" s="6">
        <f>IFERROR(VLOOKUP($B789,Company_Cat!$B$2:$E$623,2,FALSE),"")</f>
        <v/>
      </c>
      <c r="B789" s="4" t="n"/>
      <c r="C789" s="6">
        <f>IFERROR(VLOOKUP($B789,Company_Cat!$B$2:$H$623,6,FALSE),"")</f>
        <v/>
      </c>
    </row>
    <row r="790">
      <c r="A790" s="6">
        <f>IFERROR(VLOOKUP($B790,Company_Cat!$B$2:$E$623,2,FALSE),"")</f>
        <v/>
      </c>
      <c r="B790" s="4" t="n"/>
      <c r="C790" s="6">
        <f>IFERROR(VLOOKUP($B790,Company_Cat!$B$2:$H$623,6,FALSE),"")</f>
        <v/>
      </c>
    </row>
    <row r="791">
      <c r="A791" s="6">
        <f>IFERROR(VLOOKUP($B791,Company_Cat!$B$2:$E$623,2,FALSE),"")</f>
        <v/>
      </c>
      <c r="B791" s="4" t="n"/>
      <c r="C791" s="6">
        <f>IFERROR(VLOOKUP($B791,Company_Cat!$B$2:$H$623,6,FALSE),"")</f>
        <v/>
      </c>
    </row>
    <row r="792">
      <c r="A792" s="6">
        <f>IFERROR(VLOOKUP($B792,Company_Cat!$B$2:$E$623,2,FALSE),"")</f>
        <v/>
      </c>
      <c r="B792" s="4" t="n"/>
      <c r="C792" s="6">
        <f>IFERROR(VLOOKUP($B792,Company_Cat!$B$2:$H$623,6,FALSE),"")</f>
        <v/>
      </c>
    </row>
    <row r="793">
      <c r="A793" s="6">
        <f>IFERROR(VLOOKUP($B793,Company_Cat!$B$2:$E$623,2,FALSE),"")</f>
        <v/>
      </c>
      <c r="B793" s="4" t="n"/>
      <c r="C793" s="6">
        <f>IFERROR(VLOOKUP($B793,Company_Cat!$B$2:$H$623,6,FALSE),"")</f>
        <v/>
      </c>
    </row>
    <row r="794">
      <c r="A794" s="6">
        <f>IFERROR(VLOOKUP($B794,Company_Cat!$B$2:$E$623,2,FALSE),"")</f>
        <v/>
      </c>
      <c r="B794" s="4" t="n"/>
      <c r="C794" s="6">
        <f>IFERROR(VLOOKUP($B794,Company_Cat!$B$2:$H$623,6,FALSE),"")</f>
        <v/>
      </c>
    </row>
    <row r="795">
      <c r="A795" s="6">
        <f>IFERROR(VLOOKUP($B795,Company_Cat!$B$2:$E$623,2,FALSE),"")</f>
        <v/>
      </c>
      <c r="B795" s="4" t="n"/>
      <c r="C795" s="6">
        <f>IFERROR(VLOOKUP($B795,Company_Cat!$B$2:$H$623,6,FALSE),"")</f>
        <v/>
      </c>
    </row>
    <row r="796">
      <c r="A796" s="6">
        <f>IFERROR(VLOOKUP($B796,Company_Cat!$B$2:$E$623,2,FALSE),"")</f>
        <v/>
      </c>
      <c r="B796" s="4" t="n"/>
      <c r="C796" s="6">
        <f>IFERROR(VLOOKUP($B796,Company_Cat!$B$2:$H$623,6,FALSE),"")</f>
        <v/>
      </c>
    </row>
    <row r="797">
      <c r="A797" s="6">
        <f>IFERROR(VLOOKUP($B797,Company_Cat!$B$2:$E$623,2,FALSE),"")</f>
        <v/>
      </c>
      <c r="B797" s="4" t="n"/>
      <c r="C797" s="6">
        <f>IFERROR(VLOOKUP($B797,Company_Cat!$B$2:$H$623,6,FALSE),"")</f>
        <v/>
      </c>
    </row>
    <row r="798">
      <c r="A798" s="6">
        <f>IFERROR(VLOOKUP($B798,Company_Cat!$B$2:$E$623,2,FALSE),"")</f>
        <v/>
      </c>
      <c r="B798" s="4" t="n"/>
      <c r="C798" s="6">
        <f>IFERROR(VLOOKUP($B798,Company_Cat!$B$2:$H$623,6,FALSE),"")</f>
        <v/>
      </c>
    </row>
    <row r="799">
      <c r="A799" s="6">
        <f>IFERROR(VLOOKUP($B799,Company_Cat!$B$2:$E$623,2,FALSE),"")</f>
        <v/>
      </c>
      <c r="B799" s="4" t="n"/>
      <c r="C799" s="6">
        <f>IFERROR(VLOOKUP($B799,Company_Cat!$B$2:$H$623,6,FALSE),"")</f>
        <v/>
      </c>
    </row>
    <row r="800">
      <c r="A800" s="6">
        <f>IFERROR(VLOOKUP($B800,Company_Cat!$B$2:$E$623,2,FALSE),"")</f>
        <v/>
      </c>
      <c r="B800" s="4" t="n"/>
      <c r="C800" s="6">
        <f>IFERROR(VLOOKUP($B800,Company_Cat!$B$2:$H$623,6,FALSE),"")</f>
        <v/>
      </c>
    </row>
    <row r="801">
      <c r="A801" s="6">
        <f>IFERROR(VLOOKUP($B801,Company_Cat!$B$2:$E$623,2,FALSE),"")</f>
        <v/>
      </c>
      <c r="B801" s="4" t="n"/>
      <c r="C801" s="6">
        <f>IFERROR(VLOOKUP($B801,Company_Cat!$B$2:$H$623,6,FALSE),"")</f>
        <v/>
      </c>
    </row>
    <row r="802">
      <c r="A802" s="6">
        <f>IFERROR(VLOOKUP($B802,Company_Cat!$B$2:$E$623,2,FALSE),"")</f>
        <v/>
      </c>
      <c r="B802" s="4" t="n"/>
      <c r="C802" s="6">
        <f>IFERROR(VLOOKUP($B802,Company_Cat!$B$2:$H$623,6,FALSE),"")</f>
        <v/>
      </c>
    </row>
    <row r="803">
      <c r="A803" s="6">
        <f>IFERROR(VLOOKUP($B803,Company_Cat!$B$2:$E$623,2,FALSE),"")</f>
        <v/>
      </c>
      <c r="B803" s="4" t="n"/>
      <c r="C803" s="6">
        <f>IFERROR(VLOOKUP($B803,Company_Cat!$B$2:$H$623,6,FALSE),"")</f>
        <v/>
      </c>
    </row>
    <row r="804">
      <c r="A804" s="6">
        <f>IFERROR(VLOOKUP($B804,Company_Cat!$B$2:$E$623,2,FALSE),"")</f>
        <v/>
      </c>
      <c r="B804" s="4" t="n"/>
      <c r="C804" s="6">
        <f>IFERROR(VLOOKUP($B804,Company_Cat!$B$2:$H$623,6,FALSE),"")</f>
        <v/>
      </c>
    </row>
    <row r="805">
      <c r="A805" s="6">
        <f>IFERROR(VLOOKUP($B805,Company_Cat!$B$2:$E$623,2,FALSE),"")</f>
        <v/>
      </c>
      <c r="B805" s="4" t="n"/>
      <c r="C805" s="6">
        <f>IFERROR(VLOOKUP($B805,Company_Cat!$B$2:$H$623,6,FALSE),"")</f>
        <v/>
      </c>
    </row>
    <row r="806">
      <c r="A806" s="6">
        <f>IFERROR(VLOOKUP($B806,Company_Cat!$B$2:$E$623,2,FALSE),"")</f>
        <v/>
      </c>
      <c r="B806" s="4" t="n"/>
      <c r="C806" s="6">
        <f>IFERROR(VLOOKUP($B806,Company_Cat!$B$2:$H$623,6,FALSE),"")</f>
        <v/>
      </c>
    </row>
    <row r="807">
      <c r="A807" s="6">
        <f>IFERROR(VLOOKUP($B807,Company_Cat!$B$2:$E$623,2,FALSE),"")</f>
        <v/>
      </c>
      <c r="B807" s="4" t="n"/>
      <c r="C807" s="6">
        <f>IFERROR(VLOOKUP($B807,Company_Cat!$B$2:$H$623,6,FALSE),"")</f>
        <v/>
      </c>
    </row>
    <row r="808">
      <c r="A808" s="6">
        <f>IFERROR(VLOOKUP($B808,Company_Cat!$B$2:$E$623,2,FALSE),"")</f>
        <v/>
      </c>
      <c r="B808" s="4" t="n"/>
      <c r="C808" s="6">
        <f>IFERROR(VLOOKUP($B808,Company_Cat!$B$2:$H$623,6,FALSE),"")</f>
        <v/>
      </c>
    </row>
    <row r="809">
      <c r="A809" s="6">
        <f>IFERROR(VLOOKUP($B809,Company_Cat!$B$2:$E$623,2,FALSE),"")</f>
        <v/>
      </c>
      <c r="B809" s="4" t="n"/>
      <c r="C809" s="6">
        <f>IFERROR(VLOOKUP($B809,Company_Cat!$B$2:$H$623,6,FALSE),"")</f>
        <v/>
      </c>
    </row>
    <row r="810">
      <c r="A810" s="6">
        <f>IFERROR(VLOOKUP($B810,Company_Cat!$B$2:$E$623,2,FALSE),"")</f>
        <v/>
      </c>
      <c r="B810" s="4" t="n"/>
      <c r="C810" s="6">
        <f>IFERROR(VLOOKUP($B810,Company_Cat!$B$2:$H$623,6,FALSE),"")</f>
        <v/>
      </c>
    </row>
    <row r="811">
      <c r="A811" s="6">
        <f>IFERROR(VLOOKUP($B811,Company_Cat!$B$2:$E$623,2,FALSE),"")</f>
        <v/>
      </c>
      <c r="B811" s="4" t="n"/>
      <c r="C811" s="6">
        <f>IFERROR(VLOOKUP($B811,Company_Cat!$B$2:$H$623,6,FALSE),"")</f>
        <v/>
      </c>
    </row>
    <row r="812">
      <c r="A812" s="6">
        <f>IFERROR(VLOOKUP($B812,Company_Cat!$B$2:$E$623,2,FALSE),"")</f>
        <v/>
      </c>
      <c r="B812" s="4" t="n"/>
      <c r="C812" s="6">
        <f>IFERROR(VLOOKUP($B812,Company_Cat!$B$2:$H$623,6,FALSE),"")</f>
        <v/>
      </c>
    </row>
    <row r="813">
      <c r="A813" s="6">
        <f>IFERROR(VLOOKUP($B813,Company_Cat!$B$2:$E$623,2,FALSE),"")</f>
        <v/>
      </c>
      <c r="B813" s="4" t="n"/>
      <c r="C813" s="6">
        <f>IFERROR(VLOOKUP($B813,Company_Cat!$B$2:$H$623,6,FALSE),"")</f>
        <v/>
      </c>
    </row>
    <row r="814">
      <c r="A814" s="6">
        <f>IFERROR(VLOOKUP($B814,Company_Cat!$B$2:$E$623,2,FALSE),"")</f>
        <v/>
      </c>
      <c r="B814" s="4" t="n"/>
      <c r="C814" s="6">
        <f>IFERROR(VLOOKUP($B814,Company_Cat!$B$2:$H$623,6,FALSE),"")</f>
        <v/>
      </c>
    </row>
    <row r="815">
      <c r="A815" s="6">
        <f>IFERROR(VLOOKUP($B815,Company_Cat!$B$2:$E$623,2,FALSE),"")</f>
        <v/>
      </c>
      <c r="B815" s="4" t="n"/>
      <c r="C815" s="6">
        <f>IFERROR(VLOOKUP($B815,Company_Cat!$B$2:$H$623,6,FALSE),"")</f>
        <v/>
      </c>
    </row>
    <row r="816">
      <c r="A816" s="6">
        <f>IFERROR(VLOOKUP($B816,Company_Cat!$B$2:$E$623,2,FALSE),"")</f>
        <v/>
      </c>
      <c r="B816" s="4" t="n"/>
      <c r="C816" s="6">
        <f>IFERROR(VLOOKUP($B816,Company_Cat!$B$2:$H$623,6,FALSE),"")</f>
        <v/>
      </c>
    </row>
    <row r="817">
      <c r="A817" s="6">
        <f>IFERROR(VLOOKUP($B817,Company_Cat!$B$2:$E$623,2,FALSE),"")</f>
        <v/>
      </c>
      <c r="B817" s="4" t="n"/>
      <c r="C817" s="6">
        <f>IFERROR(VLOOKUP($B817,Company_Cat!$B$2:$H$623,6,FALSE),"")</f>
        <v/>
      </c>
    </row>
    <row r="818">
      <c r="A818" s="6">
        <f>IFERROR(VLOOKUP($B818,Company_Cat!$B$2:$E$623,2,FALSE),"")</f>
        <v/>
      </c>
      <c r="B818" s="4" t="n"/>
      <c r="C818" s="6">
        <f>IFERROR(VLOOKUP($B818,Company_Cat!$B$2:$H$623,6,FALSE),"")</f>
        <v/>
      </c>
    </row>
    <row r="819">
      <c r="A819" s="6">
        <f>IFERROR(VLOOKUP($B819,Company_Cat!$B$2:$E$623,2,FALSE),"")</f>
        <v/>
      </c>
      <c r="B819" s="4" t="n"/>
      <c r="C819" s="6">
        <f>IFERROR(VLOOKUP($B819,Company_Cat!$B$2:$H$623,6,FALSE),"")</f>
        <v/>
      </c>
    </row>
    <row r="820">
      <c r="A820" s="6">
        <f>IFERROR(VLOOKUP($B820,Company_Cat!$B$2:$E$623,2,FALSE),"")</f>
        <v/>
      </c>
      <c r="B820" s="4" t="n"/>
      <c r="C820" s="6">
        <f>IFERROR(VLOOKUP($B820,Company_Cat!$B$2:$H$623,6,FALSE),"")</f>
        <v/>
      </c>
    </row>
    <row r="821">
      <c r="A821" s="6">
        <f>IFERROR(VLOOKUP($B821,Company_Cat!$B$2:$E$623,2,FALSE),"")</f>
        <v/>
      </c>
      <c r="B821" s="4" t="n"/>
      <c r="C821" s="6">
        <f>IFERROR(VLOOKUP($B821,Company_Cat!$B$2:$H$623,6,FALSE),"")</f>
        <v/>
      </c>
    </row>
    <row r="822">
      <c r="A822" s="6">
        <f>IFERROR(VLOOKUP($B822,Company_Cat!$B$2:$E$623,2,FALSE),"")</f>
        <v/>
      </c>
      <c r="B822" s="4" t="n"/>
      <c r="C822" s="6">
        <f>IFERROR(VLOOKUP($B822,Company_Cat!$B$2:$H$623,6,FALSE),"")</f>
        <v/>
      </c>
    </row>
    <row r="823">
      <c r="A823" s="6">
        <f>IFERROR(VLOOKUP($B823,Company_Cat!$B$2:$E$623,2,FALSE),"")</f>
        <v/>
      </c>
      <c r="B823" s="4" t="n"/>
      <c r="C823" s="6">
        <f>IFERROR(VLOOKUP($B823,Company_Cat!$B$2:$H$623,6,FALSE),"")</f>
        <v/>
      </c>
    </row>
    <row r="824">
      <c r="A824" s="6">
        <f>IFERROR(VLOOKUP($B824,Company_Cat!$B$2:$E$623,2,FALSE),"")</f>
        <v/>
      </c>
      <c r="B824" s="4" t="n"/>
      <c r="C824" s="6">
        <f>IFERROR(VLOOKUP($B824,Company_Cat!$B$2:$H$623,6,FALSE),"")</f>
        <v/>
      </c>
    </row>
    <row r="825">
      <c r="A825" s="6">
        <f>IFERROR(VLOOKUP($B825,Company_Cat!$B$2:$E$623,2,FALSE),"")</f>
        <v/>
      </c>
      <c r="B825" s="4" t="n"/>
      <c r="C825" s="6">
        <f>IFERROR(VLOOKUP($B825,Company_Cat!$B$2:$H$623,6,FALSE),"")</f>
        <v/>
      </c>
    </row>
    <row r="826">
      <c r="A826" s="6">
        <f>IFERROR(VLOOKUP($B826,Company_Cat!$B$2:$E$623,2,FALSE),"")</f>
        <v/>
      </c>
      <c r="B826" s="4" t="n"/>
      <c r="C826" s="6">
        <f>IFERROR(VLOOKUP($B826,Company_Cat!$B$2:$H$623,6,FALSE),"")</f>
        <v/>
      </c>
    </row>
    <row r="827">
      <c r="A827" s="6">
        <f>IFERROR(VLOOKUP($B827,Company_Cat!$B$2:$E$623,2,FALSE),"")</f>
        <v/>
      </c>
      <c r="B827" s="4" t="n"/>
      <c r="C827" s="6">
        <f>IFERROR(VLOOKUP($B827,Company_Cat!$B$2:$H$623,6,FALSE),"")</f>
        <v/>
      </c>
    </row>
    <row r="828">
      <c r="A828" s="6">
        <f>IFERROR(VLOOKUP($B828,Company_Cat!$B$2:$E$623,2,FALSE),"")</f>
        <v/>
      </c>
      <c r="B828" s="4" t="n"/>
      <c r="C828" s="6">
        <f>IFERROR(VLOOKUP($B828,Company_Cat!$B$2:$H$623,6,FALSE),"")</f>
        <v/>
      </c>
    </row>
    <row r="829">
      <c r="A829" s="6">
        <f>IFERROR(VLOOKUP($B829,Company_Cat!$B$2:$E$623,2,FALSE),"")</f>
        <v/>
      </c>
      <c r="B829" s="4" t="n"/>
      <c r="C829" s="6">
        <f>IFERROR(VLOOKUP($B829,Company_Cat!$B$2:$H$623,6,FALSE),"")</f>
        <v/>
      </c>
    </row>
    <row r="830">
      <c r="A830" s="6">
        <f>IFERROR(VLOOKUP($B830,Company_Cat!$B$2:$E$623,2,FALSE),"")</f>
        <v/>
      </c>
      <c r="B830" s="4" t="n"/>
      <c r="C830" s="6">
        <f>IFERROR(VLOOKUP($B830,Company_Cat!$B$2:$H$623,6,FALSE),"")</f>
        <v/>
      </c>
    </row>
    <row r="831">
      <c r="A831" s="6">
        <f>IFERROR(VLOOKUP($B831,Company_Cat!$B$2:$E$623,2,FALSE),"")</f>
        <v/>
      </c>
      <c r="B831" s="4" t="n"/>
      <c r="C831" s="6">
        <f>IFERROR(VLOOKUP($B831,Company_Cat!$B$2:$H$623,6,FALSE),"")</f>
        <v/>
      </c>
    </row>
    <row r="832">
      <c r="A832" s="6">
        <f>IFERROR(VLOOKUP($B832,Company_Cat!$B$2:$E$623,2,FALSE),"")</f>
        <v/>
      </c>
      <c r="B832" s="4" t="n"/>
      <c r="C832" s="6">
        <f>IFERROR(VLOOKUP($B832,Company_Cat!$B$2:$H$623,6,FALSE),"")</f>
        <v/>
      </c>
    </row>
    <row r="833">
      <c r="A833" s="6">
        <f>IFERROR(VLOOKUP($B833,Company_Cat!$B$2:$E$623,2,FALSE),"")</f>
        <v/>
      </c>
      <c r="B833" s="4" t="n"/>
      <c r="C833" s="6">
        <f>IFERROR(VLOOKUP($B833,Company_Cat!$B$2:$H$623,6,FALSE),"")</f>
        <v/>
      </c>
    </row>
    <row r="834">
      <c r="A834" s="6">
        <f>IFERROR(VLOOKUP($B834,Company_Cat!$B$2:$E$623,2,FALSE),"")</f>
        <v/>
      </c>
      <c r="B834" s="4" t="n"/>
      <c r="C834" s="6">
        <f>IFERROR(VLOOKUP($B834,Company_Cat!$B$2:$H$623,6,FALSE),"")</f>
        <v/>
      </c>
    </row>
    <row r="835">
      <c r="A835" s="6">
        <f>IFERROR(VLOOKUP($B835,Company_Cat!$B$2:$E$623,2,FALSE),"")</f>
        <v/>
      </c>
      <c r="B835" s="4" t="n"/>
      <c r="C835" s="6">
        <f>IFERROR(VLOOKUP($B835,Company_Cat!$B$2:$H$623,6,FALSE),"")</f>
        <v/>
      </c>
    </row>
    <row r="836">
      <c r="A836" s="6">
        <f>IFERROR(VLOOKUP($B836,Company_Cat!$B$2:$E$623,2,FALSE),"")</f>
        <v/>
      </c>
      <c r="B836" s="4" t="n"/>
      <c r="C836" s="6">
        <f>IFERROR(VLOOKUP($B836,Company_Cat!$B$2:$H$623,6,FALSE),"")</f>
        <v/>
      </c>
    </row>
    <row r="837">
      <c r="A837" s="6">
        <f>IFERROR(VLOOKUP($B837,Company_Cat!$B$2:$E$623,2,FALSE),"")</f>
        <v/>
      </c>
      <c r="B837" s="4" t="n"/>
      <c r="C837" s="6">
        <f>IFERROR(VLOOKUP($B837,Company_Cat!$B$2:$H$623,6,FALSE),"")</f>
        <v/>
      </c>
    </row>
    <row r="838">
      <c r="A838" s="6">
        <f>IFERROR(VLOOKUP($B838,Company_Cat!$B$2:$E$623,2,FALSE),"")</f>
        <v/>
      </c>
      <c r="B838" s="4" t="n"/>
      <c r="C838" s="6">
        <f>IFERROR(VLOOKUP($B838,Company_Cat!$B$2:$H$623,6,FALSE),"")</f>
        <v/>
      </c>
    </row>
    <row r="839">
      <c r="A839" s="6">
        <f>IFERROR(VLOOKUP($B839,Company_Cat!$B$2:$E$623,2,FALSE),"")</f>
        <v/>
      </c>
      <c r="B839" s="4" t="n"/>
      <c r="C839" s="6">
        <f>IFERROR(VLOOKUP($B839,Company_Cat!$B$2:$H$623,6,FALSE),"")</f>
        <v/>
      </c>
    </row>
    <row r="840">
      <c r="A840" s="6">
        <f>IFERROR(VLOOKUP($B840,Company_Cat!$B$2:$E$623,2,FALSE),"")</f>
        <v/>
      </c>
      <c r="B840" s="4" t="n"/>
      <c r="C840" s="6">
        <f>IFERROR(VLOOKUP($B840,Company_Cat!$B$2:$H$623,6,FALSE),"")</f>
        <v/>
      </c>
    </row>
    <row r="841">
      <c r="A841" s="6">
        <f>IFERROR(VLOOKUP($B841,Company_Cat!$B$2:$E$623,2,FALSE),"")</f>
        <v/>
      </c>
      <c r="B841" s="4" t="n"/>
      <c r="C841" s="6">
        <f>IFERROR(VLOOKUP($B841,Company_Cat!$B$2:$H$623,6,FALSE),"")</f>
        <v/>
      </c>
    </row>
    <row r="842">
      <c r="A842" s="6">
        <f>IFERROR(VLOOKUP($B842,Company_Cat!$B$2:$E$623,2,FALSE),"")</f>
        <v/>
      </c>
      <c r="B842" s="4" t="n"/>
      <c r="C842" s="6">
        <f>IFERROR(VLOOKUP($B842,Company_Cat!$B$2:$H$623,6,FALSE),"")</f>
        <v/>
      </c>
    </row>
    <row r="843">
      <c r="A843" s="6">
        <f>IFERROR(VLOOKUP($B843,Company_Cat!$B$2:$E$623,2,FALSE),"")</f>
        <v/>
      </c>
      <c r="B843" s="4" t="n"/>
      <c r="C843" s="6">
        <f>IFERROR(VLOOKUP($B843,Company_Cat!$B$2:$H$623,6,FALSE),"")</f>
        <v/>
      </c>
    </row>
    <row r="844">
      <c r="A844" s="6">
        <f>IFERROR(VLOOKUP($B844,Company_Cat!$B$2:$E$623,2,FALSE),"")</f>
        <v/>
      </c>
      <c r="B844" s="4" t="n"/>
      <c r="C844" s="6">
        <f>IFERROR(VLOOKUP($B844,Company_Cat!$B$2:$H$623,6,FALSE),"")</f>
        <v/>
      </c>
    </row>
    <row r="845">
      <c r="A845" s="6">
        <f>IFERROR(VLOOKUP($B845,Company_Cat!$B$2:$E$623,2,FALSE),"")</f>
        <v/>
      </c>
      <c r="B845" s="4" t="n"/>
      <c r="C845" s="6">
        <f>IFERROR(VLOOKUP($B845,Company_Cat!$B$2:$H$623,6,FALSE),"")</f>
        <v/>
      </c>
    </row>
    <row r="846">
      <c r="A846" s="6">
        <f>IFERROR(VLOOKUP($B846,Company_Cat!$B$2:$E$623,2,FALSE),"")</f>
        <v/>
      </c>
      <c r="B846" s="4" t="n"/>
      <c r="C846" s="6">
        <f>IFERROR(VLOOKUP($B846,Company_Cat!$B$2:$H$623,6,FALSE),"")</f>
        <v/>
      </c>
    </row>
    <row r="847">
      <c r="A847" s="6">
        <f>IFERROR(VLOOKUP($B847,Company_Cat!$B$2:$E$623,2,FALSE),"")</f>
        <v/>
      </c>
      <c r="B847" s="4" t="n"/>
      <c r="C847" s="6">
        <f>IFERROR(VLOOKUP($B847,Company_Cat!$B$2:$H$623,6,FALSE),"")</f>
        <v/>
      </c>
    </row>
    <row r="848">
      <c r="A848" s="6">
        <f>IFERROR(VLOOKUP($B848,Company_Cat!$B$2:$E$623,2,FALSE),"")</f>
        <v/>
      </c>
      <c r="B848" s="4" t="n"/>
      <c r="C848" s="6">
        <f>IFERROR(VLOOKUP($B848,Company_Cat!$B$2:$H$623,6,FALSE),"")</f>
        <v/>
      </c>
    </row>
    <row r="849">
      <c r="A849" s="6">
        <f>IFERROR(VLOOKUP($B849,Company_Cat!$B$2:$E$623,2,FALSE),"")</f>
        <v/>
      </c>
      <c r="B849" s="4" t="n"/>
      <c r="C849" s="6">
        <f>IFERROR(VLOOKUP($B849,Company_Cat!$B$2:$H$623,6,FALSE),"")</f>
        <v/>
      </c>
    </row>
    <row r="850">
      <c r="A850" s="6">
        <f>IFERROR(VLOOKUP($B850,Company_Cat!$B$2:$E$623,2,FALSE),"")</f>
        <v/>
      </c>
      <c r="B850" s="4" t="n"/>
      <c r="C850" s="6">
        <f>IFERROR(VLOOKUP($B850,Company_Cat!$B$2:$H$623,6,FALSE),"")</f>
        <v/>
      </c>
    </row>
    <row r="851">
      <c r="A851" s="6">
        <f>IFERROR(VLOOKUP($B851,Company_Cat!$B$2:$E$623,2,FALSE),"")</f>
        <v/>
      </c>
      <c r="B851" s="4" t="n"/>
      <c r="C851" s="6">
        <f>IFERROR(VLOOKUP($B851,Company_Cat!$B$2:$H$623,6,FALSE),"")</f>
        <v/>
      </c>
    </row>
    <row r="852">
      <c r="A852" s="6">
        <f>IFERROR(VLOOKUP($B852,Company_Cat!$B$2:$E$623,2,FALSE),"")</f>
        <v/>
      </c>
      <c r="B852" s="4" t="n"/>
      <c r="C852" s="6">
        <f>IFERROR(VLOOKUP($B852,Company_Cat!$B$2:$H$623,6,FALSE),"")</f>
        <v/>
      </c>
    </row>
    <row r="853">
      <c r="A853" s="6">
        <f>IFERROR(VLOOKUP($B853,Company_Cat!$B$2:$E$623,2,FALSE),"")</f>
        <v/>
      </c>
      <c r="B853" s="4" t="n"/>
      <c r="C853" s="6">
        <f>IFERROR(VLOOKUP($B853,Company_Cat!$B$2:$H$623,6,FALSE),"")</f>
        <v/>
      </c>
    </row>
    <row r="854">
      <c r="A854" s="6">
        <f>IFERROR(VLOOKUP($B854,Company_Cat!$B$2:$E$623,2,FALSE),"")</f>
        <v/>
      </c>
      <c r="B854" s="4" t="n"/>
      <c r="C854" s="6">
        <f>IFERROR(VLOOKUP($B854,Company_Cat!$B$2:$H$623,6,FALSE),"")</f>
        <v/>
      </c>
    </row>
    <row r="855">
      <c r="A855" s="6">
        <f>IFERROR(VLOOKUP($B855,Company_Cat!$B$2:$E$623,2,FALSE),"")</f>
        <v/>
      </c>
      <c r="B855" s="4" t="n"/>
      <c r="C855" s="6">
        <f>IFERROR(VLOOKUP($B855,Company_Cat!$B$2:$H$623,6,FALSE),"")</f>
        <v/>
      </c>
    </row>
    <row r="856">
      <c r="A856" s="6">
        <f>IFERROR(VLOOKUP($B856,Company_Cat!$B$2:$E$623,2,FALSE),"")</f>
        <v/>
      </c>
      <c r="B856" s="4" t="n"/>
      <c r="C856" s="6">
        <f>IFERROR(VLOOKUP($B856,Company_Cat!$B$2:$H$623,6,FALSE),"")</f>
        <v/>
      </c>
    </row>
    <row r="857">
      <c r="A857" s="6">
        <f>IFERROR(VLOOKUP($B857,Company_Cat!$B$2:$E$623,2,FALSE),"")</f>
        <v/>
      </c>
      <c r="B857" s="4" t="n"/>
      <c r="C857" s="6">
        <f>IFERROR(VLOOKUP($B857,Company_Cat!$B$2:$H$623,6,FALSE),"")</f>
        <v/>
      </c>
    </row>
    <row r="858">
      <c r="A858" s="6">
        <f>IFERROR(VLOOKUP($B858,Company_Cat!$B$2:$E$623,2,FALSE),"")</f>
        <v/>
      </c>
      <c r="B858" s="4" t="n"/>
      <c r="C858" s="6">
        <f>IFERROR(VLOOKUP($B858,Company_Cat!$B$2:$H$623,6,FALSE),"")</f>
        <v/>
      </c>
    </row>
    <row r="859">
      <c r="A859" s="6">
        <f>IFERROR(VLOOKUP($B859,Company_Cat!$B$2:$E$623,2,FALSE),"")</f>
        <v/>
      </c>
      <c r="B859" s="4" t="n"/>
      <c r="C859" s="6">
        <f>IFERROR(VLOOKUP($B859,Company_Cat!$B$2:$H$623,6,FALSE),"")</f>
        <v/>
      </c>
    </row>
    <row r="860">
      <c r="A860" s="6">
        <f>IFERROR(VLOOKUP($B860,Company_Cat!$B$2:$E$623,2,FALSE),"")</f>
        <v/>
      </c>
      <c r="B860" s="4" t="n"/>
      <c r="C860" s="6">
        <f>IFERROR(VLOOKUP($B860,Company_Cat!$B$2:$H$623,6,FALSE),"")</f>
        <v/>
      </c>
    </row>
    <row r="861">
      <c r="A861" s="6">
        <f>IFERROR(VLOOKUP($B861,Company_Cat!$B$2:$E$623,2,FALSE),"")</f>
        <v/>
      </c>
      <c r="B861" s="4" t="n"/>
      <c r="C861" s="6">
        <f>IFERROR(VLOOKUP($B861,Company_Cat!$B$2:$H$623,6,FALSE),"")</f>
        <v/>
      </c>
    </row>
    <row r="862">
      <c r="A862" s="6">
        <f>IFERROR(VLOOKUP($B862,Company_Cat!$B$2:$E$623,2,FALSE),"")</f>
        <v/>
      </c>
      <c r="B862" s="4" t="n"/>
      <c r="C862" s="6">
        <f>IFERROR(VLOOKUP($B862,Company_Cat!$B$2:$H$623,6,FALSE),"")</f>
        <v/>
      </c>
    </row>
    <row r="863">
      <c r="A863" s="6">
        <f>IFERROR(VLOOKUP($B863,Company_Cat!$B$2:$E$623,2,FALSE),"")</f>
        <v/>
      </c>
      <c r="B863" s="4" t="n"/>
      <c r="C863" s="6">
        <f>IFERROR(VLOOKUP($B863,Company_Cat!$B$2:$H$623,6,FALSE),"")</f>
        <v/>
      </c>
    </row>
    <row r="864">
      <c r="A864" s="6">
        <f>IFERROR(VLOOKUP($B864,Company_Cat!$B$2:$E$623,2,FALSE),"")</f>
        <v/>
      </c>
      <c r="B864" s="4" t="n"/>
      <c r="C864" s="6">
        <f>IFERROR(VLOOKUP($B864,Company_Cat!$B$2:$H$623,6,FALSE),"")</f>
        <v/>
      </c>
    </row>
    <row r="865">
      <c r="A865" s="6">
        <f>IFERROR(VLOOKUP($B865,Company_Cat!$B$2:$E$623,2,FALSE),"")</f>
        <v/>
      </c>
      <c r="B865" s="4" t="n"/>
      <c r="C865" s="6">
        <f>IFERROR(VLOOKUP($B865,Company_Cat!$B$2:$H$623,6,FALSE),"")</f>
        <v/>
      </c>
    </row>
    <row r="866">
      <c r="A866" s="6">
        <f>IFERROR(VLOOKUP($B866,Company_Cat!$B$2:$E$623,2,FALSE),"")</f>
        <v/>
      </c>
      <c r="B866" s="4" t="n"/>
      <c r="C866" s="6">
        <f>IFERROR(VLOOKUP($B866,Company_Cat!$B$2:$H$623,6,FALSE),"")</f>
        <v/>
      </c>
    </row>
    <row r="867">
      <c r="A867" s="6">
        <f>IFERROR(VLOOKUP($B867,Company_Cat!$B$2:$E$623,2,FALSE),"")</f>
        <v/>
      </c>
      <c r="B867" s="4" t="n"/>
      <c r="C867" s="6">
        <f>IFERROR(VLOOKUP($B867,Company_Cat!$B$2:$H$623,6,FALSE),"")</f>
        <v/>
      </c>
    </row>
    <row r="868">
      <c r="A868" s="6">
        <f>IFERROR(VLOOKUP($B868,Company_Cat!$B$2:$E$623,2,FALSE),"")</f>
        <v/>
      </c>
      <c r="B868" s="4" t="n"/>
      <c r="C868" s="6">
        <f>IFERROR(VLOOKUP($B868,Company_Cat!$B$2:$H$623,6,FALSE),"")</f>
        <v/>
      </c>
    </row>
    <row r="869">
      <c r="A869" s="6">
        <f>IFERROR(VLOOKUP($B869,Company_Cat!$B$2:$E$623,2,FALSE),"")</f>
        <v/>
      </c>
      <c r="B869" s="4" t="n"/>
      <c r="C869" s="6">
        <f>IFERROR(VLOOKUP($B869,Company_Cat!$B$2:$H$623,6,FALSE),"")</f>
        <v/>
      </c>
    </row>
    <row r="870">
      <c r="A870" s="6">
        <f>IFERROR(VLOOKUP($B870,Company_Cat!$B$2:$E$623,2,FALSE),"")</f>
        <v/>
      </c>
      <c r="B870" s="4" t="n"/>
      <c r="C870" s="6">
        <f>IFERROR(VLOOKUP($B870,Company_Cat!$B$2:$H$623,6,FALSE),"")</f>
        <v/>
      </c>
    </row>
    <row r="871">
      <c r="A871" s="6">
        <f>IFERROR(VLOOKUP($B871,Company_Cat!$B$2:$E$623,2,FALSE),"")</f>
        <v/>
      </c>
      <c r="B871" s="4" t="n"/>
      <c r="C871" s="6">
        <f>IFERROR(VLOOKUP($B871,Company_Cat!$B$2:$H$623,6,FALSE),"")</f>
        <v/>
      </c>
    </row>
    <row r="872">
      <c r="A872" s="6">
        <f>IFERROR(VLOOKUP($B872,Company_Cat!$B$2:$E$623,2,FALSE),"")</f>
        <v/>
      </c>
      <c r="B872" s="4" t="n"/>
      <c r="C872" s="6">
        <f>IFERROR(VLOOKUP($B872,Company_Cat!$B$2:$H$623,6,FALSE),"")</f>
        <v/>
      </c>
    </row>
    <row r="873">
      <c r="A873" s="6">
        <f>IFERROR(VLOOKUP($B873,Company_Cat!$B$2:$E$623,2,FALSE),"")</f>
        <v/>
      </c>
      <c r="B873" s="4" t="n"/>
      <c r="C873" s="6">
        <f>IFERROR(VLOOKUP($B873,Company_Cat!$B$2:$H$623,6,FALSE),"")</f>
        <v/>
      </c>
    </row>
    <row r="874">
      <c r="A874" s="6">
        <f>IFERROR(VLOOKUP($B874,Company_Cat!$B$2:$E$623,2,FALSE),"")</f>
        <v/>
      </c>
      <c r="B874" s="4" t="n"/>
      <c r="C874" s="6">
        <f>IFERROR(VLOOKUP($B874,Company_Cat!$B$2:$H$623,6,FALSE),"")</f>
        <v/>
      </c>
    </row>
    <row r="875">
      <c r="A875" s="6">
        <f>IFERROR(VLOOKUP($B875,Company_Cat!$B$2:$E$623,2,FALSE),"")</f>
        <v/>
      </c>
      <c r="B875" s="4" t="n"/>
      <c r="C875" s="6">
        <f>IFERROR(VLOOKUP($B875,Company_Cat!$B$2:$H$623,6,FALSE),"")</f>
        <v/>
      </c>
    </row>
    <row r="876">
      <c r="A876" s="6">
        <f>IFERROR(VLOOKUP($B876,Company_Cat!$B$2:$E$623,2,FALSE),"")</f>
        <v/>
      </c>
      <c r="B876" s="4" t="n"/>
      <c r="C876" s="6">
        <f>IFERROR(VLOOKUP($B876,Company_Cat!$B$2:$H$623,6,FALSE),"")</f>
        <v/>
      </c>
    </row>
    <row r="877">
      <c r="A877" s="6">
        <f>IFERROR(VLOOKUP($B877,Company_Cat!$B$2:$E$623,2,FALSE),"")</f>
        <v/>
      </c>
      <c r="B877" s="4" t="n"/>
      <c r="C877" s="6">
        <f>IFERROR(VLOOKUP($B877,Company_Cat!$B$2:$H$623,6,FALSE),"")</f>
        <v/>
      </c>
    </row>
    <row r="878">
      <c r="A878" s="6">
        <f>IFERROR(VLOOKUP($B878,Company_Cat!$B$2:$E$623,2,FALSE),"")</f>
        <v/>
      </c>
      <c r="B878" s="4" t="n"/>
      <c r="C878" s="6">
        <f>IFERROR(VLOOKUP($B878,Company_Cat!$B$2:$H$623,6,FALSE),"")</f>
        <v/>
      </c>
    </row>
    <row r="879">
      <c r="A879" s="6">
        <f>IFERROR(VLOOKUP($B879,Company_Cat!$B$2:$E$623,2,FALSE),"")</f>
        <v/>
      </c>
      <c r="B879" s="4" t="n"/>
      <c r="C879" s="6">
        <f>IFERROR(VLOOKUP($B879,Company_Cat!$B$2:$H$623,6,FALSE),"")</f>
        <v/>
      </c>
    </row>
    <row r="880">
      <c r="A880" s="6">
        <f>IFERROR(VLOOKUP($B880,Company_Cat!$B$2:$E$623,2,FALSE),"")</f>
        <v/>
      </c>
      <c r="B880" s="4" t="n"/>
      <c r="C880" s="6">
        <f>IFERROR(VLOOKUP($B880,Company_Cat!$B$2:$H$623,6,FALSE),"")</f>
        <v/>
      </c>
    </row>
    <row r="881">
      <c r="A881" s="6">
        <f>IFERROR(VLOOKUP($B881,Company_Cat!$B$2:$E$623,2,FALSE),"")</f>
        <v/>
      </c>
      <c r="B881" s="4" t="n"/>
      <c r="C881" s="6">
        <f>IFERROR(VLOOKUP($B881,Company_Cat!$B$2:$H$623,6,FALSE),"")</f>
        <v/>
      </c>
    </row>
    <row r="882">
      <c r="A882" s="6">
        <f>IFERROR(VLOOKUP($B882,Company_Cat!$B$2:$E$623,2,FALSE),"")</f>
        <v/>
      </c>
      <c r="B882" s="4" t="n"/>
      <c r="C882" s="6">
        <f>IFERROR(VLOOKUP($B882,Company_Cat!$B$2:$H$623,6,FALSE),"")</f>
        <v/>
      </c>
    </row>
    <row r="883">
      <c r="A883" s="6">
        <f>IFERROR(VLOOKUP($B883,Company_Cat!$B$2:$E$623,2,FALSE),"")</f>
        <v/>
      </c>
      <c r="B883" s="4" t="n"/>
      <c r="C883" s="6">
        <f>IFERROR(VLOOKUP($B883,Company_Cat!$B$2:$H$623,6,FALSE),"")</f>
        <v/>
      </c>
    </row>
    <row r="884">
      <c r="A884" s="6">
        <f>IFERROR(VLOOKUP($B884,Company_Cat!$B$2:$E$623,2,FALSE),"")</f>
        <v/>
      </c>
      <c r="B884" s="4" t="n"/>
      <c r="C884" s="6">
        <f>IFERROR(VLOOKUP($B884,Company_Cat!$B$2:$H$623,6,FALSE),"")</f>
        <v/>
      </c>
    </row>
    <row r="885">
      <c r="A885" s="6">
        <f>IFERROR(VLOOKUP($B885,Company_Cat!$B$2:$E$623,2,FALSE),"")</f>
        <v/>
      </c>
      <c r="B885" s="4" t="n"/>
      <c r="C885" s="6">
        <f>IFERROR(VLOOKUP($B885,Company_Cat!$B$2:$H$623,6,FALSE),"")</f>
        <v/>
      </c>
    </row>
    <row r="886">
      <c r="A886" s="6">
        <f>IFERROR(VLOOKUP($B886,Company_Cat!$B$2:$E$623,2,FALSE),"")</f>
        <v/>
      </c>
      <c r="B886" s="4" t="n"/>
      <c r="C886" s="6">
        <f>IFERROR(VLOOKUP($B886,Company_Cat!$B$2:$H$623,6,FALSE),"")</f>
        <v/>
      </c>
    </row>
    <row r="887">
      <c r="A887" s="6">
        <f>IFERROR(VLOOKUP($B887,Company_Cat!$B$2:$E$623,2,FALSE),"")</f>
        <v/>
      </c>
      <c r="B887" s="4" t="n"/>
      <c r="C887" s="6">
        <f>IFERROR(VLOOKUP($B887,Company_Cat!$B$2:$H$623,6,FALSE),"")</f>
        <v/>
      </c>
    </row>
    <row r="888">
      <c r="A888" s="6">
        <f>IFERROR(VLOOKUP($B888,Company_Cat!$B$2:$E$623,2,FALSE),"")</f>
        <v/>
      </c>
      <c r="B888" s="4" t="n"/>
      <c r="C888" s="6">
        <f>IFERROR(VLOOKUP($B888,Company_Cat!$B$2:$H$623,6,FALSE),"")</f>
        <v/>
      </c>
    </row>
    <row r="889">
      <c r="A889" s="6">
        <f>IFERROR(VLOOKUP($B889,Company_Cat!$B$2:$E$623,2,FALSE),"")</f>
        <v/>
      </c>
      <c r="B889" s="4" t="n"/>
      <c r="C889" s="6">
        <f>IFERROR(VLOOKUP($B889,Company_Cat!$B$2:$H$623,6,FALSE),"")</f>
        <v/>
      </c>
    </row>
    <row r="890">
      <c r="A890" s="6">
        <f>IFERROR(VLOOKUP($B890,Company_Cat!$B$2:$E$623,2,FALSE),"")</f>
        <v/>
      </c>
      <c r="B890" s="4" t="n"/>
      <c r="C890" s="6">
        <f>IFERROR(VLOOKUP($B890,Company_Cat!$B$2:$H$623,6,FALSE),"")</f>
        <v/>
      </c>
    </row>
    <row r="891">
      <c r="A891" s="6">
        <f>IFERROR(VLOOKUP($B891,Company_Cat!$B$2:$E$623,2,FALSE),"")</f>
        <v/>
      </c>
      <c r="B891" s="4" t="n"/>
      <c r="C891" s="6">
        <f>IFERROR(VLOOKUP($B891,Company_Cat!$B$2:$H$623,6,FALSE),"")</f>
        <v/>
      </c>
    </row>
    <row r="892">
      <c r="A892" s="6">
        <f>IFERROR(VLOOKUP($B892,Company_Cat!$B$2:$E$623,2,FALSE),"")</f>
        <v/>
      </c>
      <c r="B892" s="4" t="n"/>
      <c r="C892" s="6">
        <f>IFERROR(VLOOKUP($B892,Company_Cat!$B$2:$H$623,6,FALSE),"")</f>
        <v/>
      </c>
    </row>
    <row r="893">
      <c r="A893" s="6">
        <f>IFERROR(VLOOKUP($B893,Company_Cat!$B$2:$E$623,2,FALSE),"")</f>
        <v/>
      </c>
      <c r="B893" s="4" t="n"/>
      <c r="C893" s="6">
        <f>IFERROR(VLOOKUP($B893,Company_Cat!$B$2:$H$623,6,FALSE),"")</f>
        <v/>
      </c>
    </row>
    <row r="894">
      <c r="A894" s="6">
        <f>IFERROR(VLOOKUP($B894,Company_Cat!$B$2:$E$623,2,FALSE),"")</f>
        <v/>
      </c>
      <c r="B894" s="4" t="n"/>
      <c r="C894" s="6">
        <f>IFERROR(VLOOKUP($B894,Company_Cat!$B$2:$H$623,6,FALSE),"")</f>
        <v/>
      </c>
    </row>
    <row r="895">
      <c r="A895" s="6">
        <f>IFERROR(VLOOKUP($B895,Company_Cat!$B$2:$E$623,2,FALSE),"")</f>
        <v/>
      </c>
      <c r="B895" s="4" t="n"/>
      <c r="C895" s="6">
        <f>IFERROR(VLOOKUP($B895,Company_Cat!$B$2:$H$623,6,FALSE),"")</f>
        <v/>
      </c>
    </row>
    <row r="896">
      <c r="A896" s="6">
        <f>IFERROR(VLOOKUP($B896,Company_Cat!$B$2:$E$623,2,FALSE),"")</f>
        <v/>
      </c>
      <c r="B896" s="4" t="n"/>
      <c r="C896" s="6">
        <f>IFERROR(VLOOKUP($B896,Company_Cat!$B$2:$H$623,6,FALSE),"")</f>
        <v/>
      </c>
    </row>
    <row r="897">
      <c r="A897" s="6">
        <f>IFERROR(VLOOKUP($B897,Company_Cat!$B$2:$E$623,2,FALSE),"")</f>
        <v/>
      </c>
      <c r="B897" s="4" t="n"/>
      <c r="C897" s="6">
        <f>IFERROR(VLOOKUP($B897,Company_Cat!$B$2:$H$623,6,FALSE),"")</f>
        <v/>
      </c>
    </row>
    <row r="898">
      <c r="A898" s="6">
        <f>IFERROR(VLOOKUP($B898,Company_Cat!$B$2:$E$623,2,FALSE),"")</f>
        <v/>
      </c>
      <c r="B898" s="4" t="n"/>
      <c r="C898" s="6">
        <f>IFERROR(VLOOKUP($B898,Company_Cat!$B$2:$H$623,6,FALSE),"")</f>
        <v/>
      </c>
    </row>
    <row r="899">
      <c r="A899" s="6">
        <f>IFERROR(VLOOKUP($B899,Company_Cat!$B$2:$E$623,2,FALSE),"")</f>
        <v/>
      </c>
      <c r="B899" s="4" t="n"/>
      <c r="C899" s="6">
        <f>IFERROR(VLOOKUP($B899,Company_Cat!$B$2:$H$623,6,FALSE),"")</f>
        <v/>
      </c>
    </row>
    <row r="900">
      <c r="A900" s="6">
        <f>IFERROR(VLOOKUP($B900,Company_Cat!$B$2:$E$623,2,FALSE),"")</f>
        <v/>
      </c>
      <c r="B900" s="4" t="n"/>
      <c r="C900" s="6">
        <f>IFERROR(VLOOKUP($B900,Company_Cat!$B$2:$H$623,6,FALSE),"")</f>
        <v/>
      </c>
    </row>
    <row r="901">
      <c r="A901" s="6">
        <f>IFERROR(VLOOKUP($B901,Company_Cat!$B$2:$E$623,2,FALSE),"")</f>
        <v/>
      </c>
      <c r="B901" s="4" t="n"/>
      <c r="C901" s="6">
        <f>IFERROR(VLOOKUP($B901,Company_Cat!$B$2:$H$623,6,FALSE),"")</f>
        <v/>
      </c>
    </row>
    <row r="902">
      <c r="A902" s="6">
        <f>IFERROR(VLOOKUP($B902,Company_Cat!$B$2:$E$623,2,FALSE),"")</f>
        <v/>
      </c>
      <c r="B902" s="4" t="n"/>
      <c r="C902" s="6">
        <f>IFERROR(VLOOKUP($B902,Company_Cat!$B$2:$H$623,6,FALSE),"")</f>
        <v/>
      </c>
    </row>
    <row r="903">
      <c r="A903" s="6">
        <f>IFERROR(VLOOKUP($B903,Company_Cat!$B$2:$E$623,2,FALSE),"")</f>
        <v/>
      </c>
      <c r="B903" s="4" t="n"/>
      <c r="C903" s="6">
        <f>IFERROR(VLOOKUP($B903,Company_Cat!$B$2:$H$623,6,FALSE),"")</f>
        <v/>
      </c>
    </row>
    <row r="904">
      <c r="A904" s="6">
        <f>IFERROR(VLOOKUP($B904,Company_Cat!$B$2:$E$623,2,FALSE),"")</f>
        <v/>
      </c>
      <c r="B904" s="4" t="n"/>
      <c r="C904" s="6">
        <f>IFERROR(VLOOKUP($B904,Company_Cat!$B$2:$H$623,6,FALSE),"")</f>
        <v/>
      </c>
    </row>
    <row r="905">
      <c r="A905" s="6">
        <f>IFERROR(VLOOKUP($B905,Company_Cat!$B$2:$E$623,2,FALSE),"")</f>
        <v/>
      </c>
      <c r="B905" s="4" t="n"/>
      <c r="C905" s="6">
        <f>IFERROR(VLOOKUP($B905,Company_Cat!$B$2:$H$623,6,FALSE),"")</f>
        <v/>
      </c>
    </row>
    <row r="906">
      <c r="A906" s="6">
        <f>IFERROR(VLOOKUP($B906,Company_Cat!$B$2:$E$623,2,FALSE),"")</f>
        <v/>
      </c>
      <c r="B906" s="4" t="n"/>
      <c r="C906" s="6">
        <f>IFERROR(VLOOKUP($B906,Company_Cat!$B$2:$H$623,6,FALSE),"")</f>
        <v/>
      </c>
    </row>
    <row r="907">
      <c r="A907" s="6">
        <f>IFERROR(VLOOKUP($B907,Company_Cat!$B$2:$E$623,2,FALSE),"")</f>
        <v/>
      </c>
      <c r="B907" s="4" t="n"/>
      <c r="C907" s="6">
        <f>IFERROR(VLOOKUP($B907,Company_Cat!$B$2:$H$623,6,FALSE),"")</f>
        <v/>
      </c>
    </row>
    <row r="908">
      <c r="A908" s="6">
        <f>IFERROR(VLOOKUP($B908,Company_Cat!$B$2:$E$623,2,FALSE),"")</f>
        <v/>
      </c>
      <c r="B908" s="4" t="n"/>
      <c r="C908" s="6">
        <f>IFERROR(VLOOKUP($B908,Company_Cat!$B$2:$H$623,6,FALSE),"")</f>
        <v/>
      </c>
    </row>
    <row r="909">
      <c r="A909" s="6">
        <f>IFERROR(VLOOKUP($B909,Company_Cat!$B$2:$E$623,2,FALSE),"")</f>
        <v/>
      </c>
      <c r="B909" s="4" t="n"/>
      <c r="C909" s="6">
        <f>IFERROR(VLOOKUP($B909,Company_Cat!$B$2:$H$623,6,FALSE),"")</f>
        <v/>
      </c>
    </row>
    <row r="910">
      <c r="A910" s="6">
        <f>IFERROR(VLOOKUP($B910,Company_Cat!$B$2:$E$623,2,FALSE),"")</f>
        <v/>
      </c>
      <c r="B910" s="4" t="n"/>
      <c r="C910" s="6">
        <f>IFERROR(VLOOKUP($B910,Company_Cat!$B$2:$H$623,6,FALSE),"")</f>
        <v/>
      </c>
    </row>
    <row r="911">
      <c r="A911" s="6">
        <f>IFERROR(VLOOKUP($B911,Company_Cat!$B$2:$E$623,2,FALSE),"")</f>
        <v/>
      </c>
      <c r="B911" s="4" t="n"/>
      <c r="C911" s="6">
        <f>IFERROR(VLOOKUP($B911,Company_Cat!$B$2:$H$623,6,FALSE),"")</f>
        <v/>
      </c>
    </row>
    <row r="912">
      <c r="A912" s="6">
        <f>IFERROR(VLOOKUP($B912,Company_Cat!$B$2:$E$623,2,FALSE),"")</f>
        <v/>
      </c>
      <c r="B912" s="4" t="n"/>
      <c r="C912" s="6">
        <f>IFERROR(VLOOKUP($B912,Company_Cat!$B$2:$H$623,6,FALSE),"")</f>
        <v/>
      </c>
    </row>
    <row r="913">
      <c r="A913" s="6">
        <f>IFERROR(VLOOKUP($B913,Company_Cat!$B$2:$E$623,2,FALSE),"")</f>
        <v/>
      </c>
      <c r="B913" s="4" t="n"/>
      <c r="C913" s="6">
        <f>IFERROR(VLOOKUP($B913,Company_Cat!$B$2:$H$623,6,FALSE),"")</f>
        <v/>
      </c>
    </row>
    <row r="914">
      <c r="A914" s="6">
        <f>IFERROR(VLOOKUP($B914,Company_Cat!$B$2:$E$623,2,FALSE),"")</f>
        <v/>
      </c>
      <c r="B914" s="4" t="n"/>
      <c r="C914" s="6">
        <f>IFERROR(VLOOKUP($B914,Company_Cat!$B$2:$H$623,6,FALSE),"")</f>
        <v/>
      </c>
    </row>
    <row r="915">
      <c r="A915" s="6">
        <f>IFERROR(VLOOKUP($B915,Company_Cat!$B$2:$E$623,2,FALSE),"")</f>
        <v/>
      </c>
      <c r="B915" s="4" t="n"/>
      <c r="C915" s="6">
        <f>IFERROR(VLOOKUP($B915,Company_Cat!$B$2:$H$623,6,FALSE),"")</f>
        <v/>
      </c>
    </row>
    <row r="916">
      <c r="A916" s="6">
        <f>IFERROR(VLOOKUP($B916,Company_Cat!$B$2:$E$623,2,FALSE),"")</f>
        <v/>
      </c>
      <c r="B916" s="4" t="n"/>
      <c r="C916" s="6">
        <f>IFERROR(VLOOKUP($B916,Company_Cat!$B$2:$H$623,6,FALSE),"")</f>
        <v/>
      </c>
    </row>
    <row r="917">
      <c r="A917" s="6">
        <f>IFERROR(VLOOKUP($B917,Company_Cat!$B$2:$E$623,2,FALSE),"")</f>
        <v/>
      </c>
      <c r="B917" s="4" t="n"/>
      <c r="C917" s="6">
        <f>IFERROR(VLOOKUP($B917,Company_Cat!$B$2:$H$623,6,FALSE),"")</f>
        <v/>
      </c>
    </row>
    <row r="918">
      <c r="A918" s="6">
        <f>IFERROR(VLOOKUP($B918,Company_Cat!$B$2:$E$623,2,FALSE),"")</f>
        <v/>
      </c>
      <c r="B918" s="4" t="n"/>
      <c r="C918" s="6">
        <f>IFERROR(VLOOKUP($B918,Company_Cat!$B$2:$H$623,6,FALSE),"")</f>
        <v/>
      </c>
    </row>
    <row r="919">
      <c r="A919" s="6">
        <f>IFERROR(VLOOKUP($B919,Company_Cat!$B$2:$E$623,2,FALSE),"")</f>
        <v/>
      </c>
      <c r="B919" s="4" t="n"/>
      <c r="C919" s="6">
        <f>IFERROR(VLOOKUP($B919,Company_Cat!$B$2:$H$623,6,FALSE),"")</f>
        <v/>
      </c>
    </row>
    <row r="920">
      <c r="A920" s="6">
        <f>IFERROR(VLOOKUP($B920,Company_Cat!$B$2:$E$623,2,FALSE),"")</f>
        <v/>
      </c>
      <c r="B920" s="4" t="n"/>
      <c r="C920" s="6">
        <f>IFERROR(VLOOKUP($B920,Company_Cat!$B$2:$H$623,6,FALSE),"")</f>
        <v/>
      </c>
    </row>
    <row r="921">
      <c r="A921" s="6">
        <f>IFERROR(VLOOKUP($B921,Company_Cat!$B$2:$E$623,2,FALSE),"")</f>
        <v/>
      </c>
      <c r="B921" s="4" t="n"/>
      <c r="C921" s="6">
        <f>IFERROR(VLOOKUP($B921,Company_Cat!$B$2:$H$623,6,FALSE),"")</f>
        <v/>
      </c>
    </row>
    <row r="922">
      <c r="A922" s="6">
        <f>IFERROR(VLOOKUP($B922,Company_Cat!$B$2:$E$623,2,FALSE),"")</f>
        <v/>
      </c>
      <c r="B922" s="4" t="n"/>
      <c r="C922" s="6">
        <f>IFERROR(VLOOKUP($B922,Company_Cat!$B$2:$H$623,6,FALSE),"")</f>
        <v/>
      </c>
    </row>
    <row r="923">
      <c r="A923" s="6">
        <f>IFERROR(VLOOKUP($B923,Company_Cat!$B$2:$E$623,2,FALSE),"")</f>
        <v/>
      </c>
      <c r="B923" s="4" t="n"/>
      <c r="C923" s="6">
        <f>IFERROR(VLOOKUP($B923,Company_Cat!$B$2:$H$623,6,FALSE),"")</f>
        <v/>
      </c>
    </row>
    <row r="924">
      <c r="A924" s="6">
        <f>IFERROR(VLOOKUP($B924,Company_Cat!$B$2:$E$623,2,FALSE),"")</f>
        <v/>
      </c>
      <c r="B924" s="4" t="n"/>
      <c r="C924" s="6">
        <f>IFERROR(VLOOKUP($B924,Company_Cat!$B$2:$H$623,6,FALSE),"")</f>
        <v/>
      </c>
    </row>
    <row r="925">
      <c r="A925" s="6">
        <f>IFERROR(VLOOKUP($B925,Company_Cat!$B$2:$E$623,2,FALSE),"")</f>
        <v/>
      </c>
      <c r="B925" s="4" t="n"/>
      <c r="C925" s="6">
        <f>IFERROR(VLOOKUP($B925,Company_Cat!$B$2:$H$623,6,FALSE),"")</f>
        <v/>
      </c>
    </row>
    <row r="926">
      <c r="A926" s="6">
        <f>IFERROR(VLOOKUP($B926,Company_Cat!$B$2:$E$623,2,FALSE),"")</f>
        <v/>
      </c>
      <c r="B926" s="4" t="n"/>
      <c r="C926" s="6">
        <f>IFERROR(VLOOKUP($B926,Company_Cat!$B$2:$H$623,6,FALSE),"")</f>
        <v/>
      </c>
    </row>
    <row r="927">
      <c r="A927" s="6">
        <f>IFERROR(VLOOKUP($B927,Company_Cat!$B$2:$E$623,2,FALSE),"")</f>
        <v/>
      </c>
      <c r="B927" s="4" t="n"/>
      <c r="C927" s="6">
        <f>IFERROR(VLOOKUP($B927,Company_Cat!$B$2:$H$623,6,FALSE),"")</f>
        <v/>
      </c>
    </row>
    <row r="928">
      <c r="A928" s="6">
        <f>IFERROR(VLOOKUP($B928,Company_Cat!$B$2:$E$623,2,FALSE),"")</f>
        <v/>
      </c>
      <c r="B928" s="4" t="n"/>
      <c r="C928" s="6">
        <f>IFERROR(VLOOKUP($B928,Company_Cat!$B$2:$H$623,6,FALSE),"")</f>
        <v/>
      </c>
    </row>
    <row r="929">
      <c r="A929" s="6">
        <f>IFERROR(VLOOKUP($B929,Company_Cat!$B$2:$E$623,2,FALSE),"")</f>
        <v/>
      </c>
      <c r="B929" s="4" t="n"/>
      <c r="C929" s="6">
        <f>IFERROR(VLOOKUP($B929,Company_Cat!$B$2:$H$623,6,FALSE),"")</f>
        <v/>
      </c>
    </row>
    <row r="930">
      <c r="A930" s="6">
        <f>IFERROR(VLOOKUP($B930,Company_Cat!$B$2:$E$623,2,FALSE),"")</f>
        <v/>
      </c>
      <c r="B930" s="4" t="n"/>
      <c r="C930" s="6">
        <f>IFERROR(VLOOKUP($B930,Company_Cat!$B$2:$H$623,6,FALSE),"")</f>
        <v/>
      </c>
    </row>
    <row r="931">
      <c r="A931" s="6">
        <f>IFERROR(VLOOKUP($B931,Company_Cat!$B$2:$E$623,2,FALSE),"")</f>
        <v/>
      </c>
      <c r="B931" s="4" t="n"/>
      <c r="C931" s="6">
        <f>IFERROR(VLOOKUP($B931,Company_Cat!$B$2:$H$623,6,FALSE),"")</f>
        <v/>
      </c>
    </row>
    <row r="932">
      <c r="A932" s="6">
        <f>IFERROR(VLOOKUP($B932,Company_Cat!$B$2:$E$623,2,FALSE),"")</f>
        <v/>
      </c>
      <c r="B932" s="4" t="n"/>
      <c r="C932" s="6">
        <f>IFERROR(VLOOKUP($B932,Company_Cat!$B$2:$H$623,6,FALSE),"")</f>
        <v/>
      </c>
    </row>
    <row r="933">
      <c r="A933" s="6">
        <f>IFERROR(VLOOKUP($B933,Company_Cat!$B$2:$E$623,2,FALSE),"")</f>
        <v/>
      </c>
      <c r="B933" s="4" t="n"/>
      <c r="C933" s="6">
        <f>IFERROR(VLOOKUP($B933,Company_Cat!$B$2:$H$623,6,FALSE),"")</f>
        <v/>
      </c>
    </row>
    <row r="934">
      <c r="A934" s="6">
        <f>IFERROR(VLOOKUP($B934,Company_Cat!$B$2:$E$623,2,FALSE),"")</f>
        <v/>
      </c>
      <c r="B934" s="4" t="n"/>
      <c r="C934" s="6">
        <f>IFERROR(VLOOKUP($B934,Company_Cat!$B$2:$H$623,6,FALSE),"")</f>
        <v/>
      </c>
    </row>
    <row r="935">
      <c r="A935" s="6">
        <f>IFERROR(VLOOKUP($B935,Company_Cat!$B$2:$E$623,2,FALSE),"")</f>
        <v/>
      </c>
      <c r="B935" s="4" t="n"/>
      <c r="C935" s="6">
        <f>IFERROR(VLOOKUP($B935,Company_Cat!$B$2:$H$623,6,FALSE),"")</f>
        <v/>
      </c>
    </row>
    <row r="936">
      <c r="A936" s="6">
        <f>IFERROR(VLOOKUP($B936,Company_Cat!$B$2:$E$623,2,FALSE),"")</f>
        <v/>
      </c>
      <c r="B936" s="4" t="n"/>
      <c r="C936" s="6">
        <f>IFERROR(VLOOKUP($B936,Company_Cat!$B$2:$H$623,6,FALSE),"")</f>
        <v/>
      </c>
    </row>
    <row r="937">
      <c r="A937" s="6">
        <f>IFERROR(VLOOKUP($B937,Company_Cat!$B$2:$E$623,2,FALSE),"")</f>
        <v/>
      </c>
      <c r="B937" s="4" t="n"/>
      <c r="C937" s="6">
        <f>IFERROR(VLOOKUP($B937,Company_Cat!$B$2:$H$623,6,FALSE),"")</f>
        <v/>
      </c>
    </row>
    <row r="938">
      <c r="A938" s="6">
        <f>IFERROR(VLOOKUP($B938,Company_Cat!$B$2:$E$623,2,FALSE),"")</f>
        <v/>
      </c>
      <c r="B938" s="4" t="n"/>
      <c r="C938" s="6">
        <f>IFERROR(VLOOKUP($B938,Company_Cat!$B$2:$H$623,6,FALSE),"")</f>
        <v/>
      </c>
    </row>
    <row r="939">
      <c r="A939" s="6">
        <f>IFERROR(VLOOKUP($B939,Company_Cat!$B$2:$E$623,2,FALSE),"")</f>
        <v/>
      </c>
      <c r="B939" s="4" t="n"/>
      <c r="C939" s="6">
        <f>IFERROR(VLOOKUP($B939,Company_Cat!$B$2:$H$623,6,FALSE),"")</f>
        <v/>
      </c>
    </row>
    <row r="940">
      <c r="A940" s="6">
        <f>IFERROR(VLOOKUP($B940,Company_Cat!$B$2:$E$623,2,FALSE),"")</f>
        <v/>
      </c>
      <c r="B940" s="4" t="n"/>
      <c r="C940" s="6">
        <f>IFERROR(VLOOKUP($B940,Company_Cat!$B$2:$H$623,6,FALSE),"")</f>
        <v/>
      </c>
    </row>
    <row r="941">
      <c r="A941" s="6">
        <f>IFERROR(VLOOKUP($B941,Company_Cat!$B$2:$E$623,2,FALSE),"")</f>
        <v/>
      </c>
      <c r="B941" s="4" t="n"/>
      <c r="C941" s="6">
        <f>IFERROR(VLOOKUP($B941,Company_Cat!$B$2:$H$623,6,FALSE),"")</f>
        <v/>
      </c>
    </row>
    <row r="942">
      <c r="A942" s="6">
        <f>IFERROR(VLOOKUP($B942,Company_Cat!$B$2:$E$623,2,FALSE),"")</f>
        <v/>
      </c>
      <c r="B942" s="4" t="n"/>
      <c r="C942" s="6">
        <f>IFERROR(VLOOKUP($B942,Company_Cat!$B$2:$H$623,6,FALSE),"")</f>
        <v/>
      </c>
    </row>
    <row r="943">
      <c r="A943" s="6">
        <f>IFERROR(VLOOKUP($B943,Company_Cat!$B$2:$E$623,2,FALSE),"")</f>
        <v/>
      </c>
      <c r="B943" s="4" t="n"/>
      <c r="C943" s="6">
        <f>IFERROR(VLOOKUP($B943,Company_Cat!$B$2:$H$623,6,FALSE),"")</f>
        <v/>
      </c>
    </row>
    <row r="944">
      <c r="A944" s="6">
        <f>IFERROR(VLOOKUP($B944,Company_Cat!$B$2:$E$623,2,FALSE),"")</f>
        <v/>
      </c>
      <c r="B944" s="4" t="n"/>
      <c r="C944" s="6">
        <f>IFERROR(VLOOKUP($B944,Company_Cat!$B$2:$H$623,6,FALSE),"")</f>
        <v/>
      </c>
    </row>
    <row r="945">
      <c r="A945" s="6">
        <f>IFERROR(VLOOKUP($B945,Company_Cat!$B$2:$E$623,2,FALSE),"")</f>
        <v/>
      </c>
      <c r="B945" s="4" t="n"/>
      <c r="C945" s="6">
        <f>IFERROR(VLOOKUP($B945,Company_Cat!$B$2:$H$623,6,FALSE),"")</f>
        <v/>
      </c>
    </row>
    <row r="946">
      <c r="A946" s="6">
        <f>IFERROR(VLOOKUP($B946,Company_Cat!$B$2:$E$623,2,FALSE),"")</f>
        <v/>
      </c>
      <c r="B946" s="4" t="n"/>
      <c r="C946" s="6">
        <f>IFERROR(VLOOKUP($B946,Company_Cat!$B$2:$H$623,6,FALSE),"")</f>
        <v/>
      </c>
    </row>
    <row r="947">
      <c r="A947" s="6">
        <f>IFERROR(VLOOKUP($B947,Company_Cat!$B$2:$E$623,2,FALSE),"")</f>
        <v/>
      </c>
      <c r="B947" s="4" t="n"/>
      <c r="C947" s="6">
        <f>IFERROR(VLOOKUP($B947,Company_Cat!$B$2:$H$623,6,FALSE),"")</f>
        <v/>
      </c>
    </row>
    <row r="948">
      <c r="A948" s="6">
        <f>IFERROR(VLOOKUP($B948,Company_Cat!$B$2:$E$623,2,FALSE),"")</f>
        <v/>
      </c>
      <c r="B948" s="4" t="n"/>
      <c r="C948" s="6">
        <f>IFERROR(VLOOKUP($B948,Company_Cat!$B$2:$H$623,6,FALSE),"")</f>
        <v/>
      </c>
    </row>
    <row r="949">
      <c r="A949" s="6">
        <f>IFERROR(VLOOKUP($B949,Company_Cat!$B$2:$E$623,2,FALSE),"")</f>
        <v/>
      </c>
      <c r="B949" s="4" t="n"/>
      <c r="C949" s="6">
        <f>IFERROR(VLOOKUP($B949,Company_Cat!$B$2:$H$623,6,FALSE),"")</f>
        <v/>
      </c>
    </row>
    <row r="950">
      <c r="A950" s="6">
        <f>IFERROR(VLOOKUP($B950,Company_Cat!$B$2:$E$623,2,FALSE),"")</f>
        <v/>
      </c>
      <c r="B950" s="4" t="n"/>
      <c r="C950" s="6">
        <f>IFERROR(VLOOKUP($B950,Company_Cat!$B$2:$H$623,6,FALSE),"")</f>
        <v/>
      </c>
    </row>
    <row r="951">
      <c r="A951" s="6">
        <f>IFERROR(VLOOKUP($B951,Company_Cat!$B$2:$E$623,2,FALSE),"")</f>
        <v/>
      </c>
      <c r="B951" s="4" t="n"/>
      <c r="C951" s="6">
        <f>IFERROR(VLOOKUP($B951,Company_Cat!$B$2:$H$623,6,FALSE),"")</f>
        <v/>
      </c>
    </row>
    <row r="952">
      <c r="A952" s="6">
        <f>IFERROR(VLOOKUP($B952,Company_Cat!$B$2:$E$623,2,FALSE),"")</f>
        <v/>
      </c>
      <c r="B952" s="4" t="n"/>
      <c r="C952" s="6">
        <f>IFERROR(VLOOKUP($B952,Company_Cat!$B$2:$H$623,6,FALSE),"")</f>
        <v/>
      </c>
    </row>
    <row r="953">
      <c r="A953" s="6">
        <f>IFERROR(VLOOKUP($B953,Company_Cat!$B$2:$E$623,2,FALSE),"")</f>
        <v/>
      </c>
      <c r="B953" s="4" t="n"/>
      <c r="C953" s="6">
        <f>IFERROR(VLOOKUP($B953,Company_Cat!$B$2:$H$623,6,FALSE),"")</f>
        <v/>
      </c>
    </row>
    <row r="954">
      <c r="A954" s="6">
        <f>IFERROR(VLOOKUP($B954,Company_Cat!$B$2:$E$623,2,FALSE),"")</f>
        <v/>
      </c>
      <c r="B954" s="4" t="n"/>
      <c r="C954" s="6">
        <f>IFERROR(VLOOKUP($B954,Company_Cat!$B$2:$H$623,6,FALSE),"")</f>
        <v/>
      </c>
    </row>
    <row r="955">
      <c r="A955" s="6">
        <f>IFERROR(VLOOKUP($B955,Company_Cat!$B$2:$E$623,2,FALSE),"")</f>
        <v/>
      </c>
      <c r="B955" s="4" t="n"/>
      <c r="C955" s="6">
        <f>IFERROR(VLOOKUP($B955,Company_Cat!$B$2:$H$623,6,FALSE),"")</f>
        <v/>
      </c>
    </row>
    <row r="956">
      <c r="A956" s="6">
        <f>IFERROR(VLOOKUP($B956,Company_Cat!$B$2:$E$623,2,FALSE),"")</f>
        <v/>
      </c>
      <c r="B956" s="4" t="n"/>
      <c r="C956" s="6">
        <f>IFERROR(VLOOKUP($B956,Company_Cat!$B$2:$H$623,6,FALSE),"")</f>
        <v/>
      </c>
    </row>
    <row r="957">
      <c r="A957" s="6">
        <f>IFERROR(VLOOKUP($B957,Company_Cat!$B$2:$E$623,2,FALSE),"")</f>
        <v/>
      </c>
      <c r="B957" s="4" t="n"/>
      <c r="C957" s="6">
        <f>IFERROR(VLOOKUP($B957,Company_Cat!$B$2:$H$623,6,FALSE),"")</f>
        <v/>
      </c>
    </row>
    <row r="958">
      <c r="A958" s="6">
        <f>IFERROR(VLOOKUP($B958,Company_Cat!$B$2:$E$623,2,FALSE),"")</f>
        <v/>
      </c>
      <c r="B958" s="4" t="n"/>
      <c r="C958" s="6">
        <f>IFERROR(VLOOKUP($B958,Company_Cat!$B$2:$H$623,6,FALSE),"")</f>
        <v/>
      </c>
    </row>
    <row r="959">
      <c r="A959" s="6">
        <f>IFERROR(VLOOKUP($B959,Company_Cat!$B$2:$E$623,2,FALSE),"")</f>
        <v/>
      </c>
      <c r="B959" s="4" t="n"/>
      <c r="C959" s="6">
        <f>IFERROR(VLOOKUP($B959,Company_Cat!$B$2:$H$623,6,FALSE),"")</f>
        <v/>
      </c>
    </row>
    <row r="960">
      <c r="A960" s="6">
        <f>IFERROR(VLOOKUP($B960,Company_Cat!$B$2:$E$623,2,FALSE),"")</f>
        <v/>
      </c>
      <c r="B960" s="4" t="n"/>
      <c r="C960" s="6">
        <f>IFERROR(VLOOKUP($B960,Company_Cat!$B$2:$H$623,6,FALSE),"")</f>
        <v/>
      </c>
    </row>
    <row r="961">
      <c r="A961" s="6">
        <f>IFERROR(VLOOKUP($B961,Company_Cat!$B$2:$E$623,2,FALSE),"")</f>
        <v/>
      </c>
      <c r="B961" s="4" t="n"/>
      <c r="C961" s="6">
        <f>IFERROR(VLOOKUP($B961,Company_Cat!$B$2:$H$623,6,FALSE),"")</f>
        <v/>
      </c>
    </row>
    <row r="962">
      <c r="A962" s="6">
        <f>IFERROR(VLOOKUP($B962,Company_Cat!$B$2:$E$623,2,FALSE),"")</f>
        <v/>
      </c>
      <c r="B962" s="4" t="n"/>
      <c r="C962" s="6">
        <f>IFERROR(VLOOKUP($B962,Company_Cat!$B$2:$H$623,6,FALSE),"")</f>
        <v/>
      </c>
    </row>
    <row r="963">
      <c r="A963" s="6">
        <f>IFERROR(VLOOKUP($B963,Company_Cat!$B$2:$E$623,2,FALSE),"")</f>
        <v/>
      </c>
      <c r="B963" s="4" t="n"/>
      <c r="C963" s="6">
        <f>IFERROR(VLOOKUP($B963,Company_Cat!$B$2:$H$623,6,FALSE),"")</f>
        <v/>
      </c>
    </row>
    <row r="964">
      <c r="A964" s="6">
        <f>IFERROR(VLOOKUP($B964,Company_Cat!$B$2:$E$623,2,FALSE),"")</f>
        <v/>
      </c>
      <c r="B964" s="4" t="n"/>
      <c r="C964" s="6">
        <f>IFERROR(VLOOKUP($B964,Company_Cat!$B$2:$H$623,6,FALSE),"")</f>
        <v/>
      </c>
    </row>
    <row r="965">
      <c r="A965" s="6">
        <f>IFERROR(VLOOKUP($B965,Company_Cat!$B$2:$E$623,2,FALSE),"")</f>
        <v/>
      </c>
      <c r="B965" s="4" t="n"/>
      <c r="C965" s="6">
        <f>IFERROR(VLOOKUP($B965,Company_Cat!$B$2:$H$623,6,FALSE),"")</f>
        <v/>
      </c>
    </row>
    <row r="966">
      <c r="A966" s="6">
        <f>IFERROR(VLOOKUP($B966,Company_Cat!$B$2:$E$623,2,FALSE),"")</f>
        <v/>
      </c>
      <c r="B966" s="4" t="n"/>
      <c r="C966" s="6">
        <f>IFERROR(VLOOKUP($B966,Company_Cat!$B$2:$H$623,6,FALSE),"")</f>
        <v/>
      </c>
    </row>
    <row r="967">
      <c r="A967" s="6">
        <f>IFERROR(VLOOKUP($B967,Company_Cat!$B$2:$E$623,2,FALSE),"")</f>
        <v/>
      </c>
      <c r="B967" s="4" t="n"/>
      <c r="C967" s="6">
        <f>IFERROR(VLOOKUP($B967,Company_Cat!$B$2:$H$623,6,FALSE),"")</f>
        <v/>
      </c>
    </row>
    <row r="968">
      <c r="A968" s="6">
        <f>IFERROR(VLOOKUP($B968,Company_Cat!$B$2:$E$623,2,FALSE),"")</f>
        <v/>
      </c>
      <c r="B968" s="4" t="n"/>
      <c r="C968" s="6">
        <f>IFERROR(VLOOKUP($B968,Company_Cat!$B$2:$H$623,6,FALSE),"")</f>
        <v/>
      </c>
    </row>
    <row r="969">
      <c r="A969" s="6">
        <f>IFERROR(VLOOKUP($B969,Company_Cat!$B$2:$E$623,2,FALSE),"")</f>
        <v/>
      </c>
      <c r="B969" s="4" t="n"/>
      <c r="C969" s="6">
        <f>IFERROR(VLOOKUP($B969,Company_Cat!$B$2:$H$623,6,FALSE),"")</f>
        <v/>
      </c>
    </row>
    <row r="970">
      <c r="A970" s="6">
        <f>IFERROR(VLOOKUP($B970,Company_Cat!$B$2:$E$623,2,FALSE),"")</f>
        <v/>
      </c>
      <c r="B970" s="4" t="n"/>
      <c r="C970" s="6">
        <f>IFERROR(VLOOKUP($B970,Company_Cat!$B$2:$H$623,6,FALSE),"")</f>
        <v/>
      </c>
    </row>
    <row r="971">
      <c r="A971" s="6">
        <f>IFERROR(VLOOKUP($B971,Company_Cat!$B$2:$E$623,2,FALSE),"")</f>
        <v/>
      </c>
      <c r="B971" s="4" t="n"/>
      <c r="C971" s="6">
        <f>IFERROR(VLOOKUP($B971,Company_Cat!$B$2:$H$623,6,FALSE),"")</f>
        <v/>
      </c>
    </row>
    <row r="972">
      <c r="A972" s="6">
        <f>IFERROR(VLOOKUP($B972,Company_Cat!$B$2:$E$623,2,FALSE),"")</f>
        <v/>
      </c>
      <c r="B972" s="4" t="n"/>
      <c r="C972" s="6">
        <f>IFERROR(VLOOKUP($B972,Company_Cat!$B$2:$H$623,6,FALSE),"")</f>
        <v/>
      </c>
    </row>
    <row r="973">
      <c r="A973" s="6">
        <f>IFERROR(VLOOKUP($B973,Company_Cat!$B$2:$E$623,2,FALSE),"")</f>
        <v/>
      </c>
      <c r="B973" s="4" t="n"/>
      <c r="C973" s="6">
        <f>IFERROR(VLOOKUP($B973,Company_Cat!$B$2:$H$623,6,FALSE),"")</f>
        <v/>
      </c>
    </row>
    <row r="974">
      <c r="A974" s="6">
        <f>IFERROR(VLOOKUP($B974,Company_Cat!$B$2:$E$623,2,FALSE),"")</f>
        <v/>
      </c>
      <c r="B974" s="4" t="n"/>
      <c r="C974" s="6">
        <f>IFERROR(VLOOKUP($B974,Company_Cat!$B$2:$H$623,6,FALSE),"")</f>
        <v/>
      </c>
    </row>
    <row r="975">
      <c r="A975" s="6">
        <f>IFERROR(VLOOKUP($B975,Company_Cat!$B$2:$E$623,2,FALSE),"")</f>
        <v/>
      </c>
      <c r="B975" s="4" t="n"/>
      <c r="C975" s="6">
        <f>IFERROR(VLOOKUP($B975,Company_Cat!$B$2:$H$623,6,FALSE),"")</f>
        <v/>
      </c>
    </row>
    <row r="976">
      <c r="A976" s="6">
        <f>IFERROR(VLOOKUP($B976,Company_Cat!$B$2:$E$623,2,FALSE),"")</f>
        <v/>
      </c>
      <c r="B976" s="4" t="n"/>
      <c r="C976" s="6">
        <f>IFERROR(VLOOKUP($B976,Company_Cat!$B$2:$H$623,6,FALSE),"")</f>
        <v/>
      </c>
    </row>
    <row r="977">
      <c r="A977" s="6">
        <f>IFERROR(VLOOKUP($B977,Company_Cat!$B$2:$E$623,2,FALSE),"")</f>
        <v/>
      </c>
      <c r="B977" s="4" t="n"/>
      <c r="C977" s="6">
        <f>IFERROR(VLOOKUP($B977,Company_Cat!$B$2:$H$623,6,FALSE),"")</f>
        <v/>
      </c>
    </row>
    <row r="978">
      <c r="A978" s="6">
        <f>IFERROR(VLOOKUP($B978,Company_Cat!$B$2:$E$623,2,FALSE),"")</f>
        <v/>
      </c>
      <c r="B978" s="4" t="n"/>
      <c r="C978" s="6">
        <f>IFERROR(VLOOKUP($B978,Company_Cat!$B$2:$H$623,6,FALSE),"")</f>
        <v/>
      </c>
    </row>
    <row r="979">
      <c r="A979" s="6">
        <f>IFERROR(VLOOKUP($B979,Company_Cat!$B$2:$E$623,2,FALSE),"")</f>
        <v/>
      </c>
      <c r="B979" s="4" t="n"/>
      <c r="C979" s="6">
        <f>IFERROR(VLOOKUP($B979,Company_Cat!$B$2:$H$623,6,FALSE),"")</f>
        <v/>
      </c>
    </row>
    <row r="980">
      <c r="A980" s="6">
        <f>IFERROR(VLOOKUP($B980,Company_Cat!$B$2:$E$623,2,FALSE),"")</f>
        <v/>
      </c>
      <c r="B980" s="4" t="n"/>
      <c r="C980" s="6">
        <f>IFERROR(VLOOKUP($B980,Company_Cat!$B$2:$H$623,6,FALSE),"")</f>
        <v/>
      </c>
    </row>
    <row r="981">
      <c r="A981" s="6">
        <f>IFERROR(VLOOKUP($B981,Company_Cat!$B$2:$E$623,2,FALSE),"")</f>
        <v/>
      </c>
      <c r="B981" s="4" t="n"/>
      <c r="C981" s="6">
        <f>IFERROR(VLOOKUP($B981,Company_Cat!$B$2:$H$623,6,FALSE),"")</f>
        <v/>
      </c>
    </row>
    <row r="982">
      <c r="A982" s="6">
        <f>IFERROR(VLOOKUP($B982,Company_Cat!$B$2:$E$623,2,FALSE),"")</f>
        <v/>
      </c>
      <c r="B982" s="4" t="n"/>
      <c r="C982" s="6">
        <f>IFERROR(VLOOKUP($B982,Company_Cat!$B$2:$H$623,6,FALSE),"")</f>
        <v/>
      </c>
    </row>
    <row r="983">
      <c r="A983" s="6">
        <f>IFERROR(VLOOKUP($B983,Company_Cat!$B$2:$E$623,2,FALSE),"")</f>
        <v/>
      </c>
      <c r="B983" s="4" t="n"/>
      <c r="C983" s="6">
        <f>IFERROR(VLOOKUP($B983,Company_Cat!$B$2:$H$623,6,FALSE),"")</f>
        <v/>
      </c>
    </row>
    <row r="984">
      <c r="A984" s="6">
        <f>IFERROR(VLOOKUP($B984,Company_Cat!$B$2:$E$623,2,FALSE),"")</f>
        <v/>
      </c>
      <c r="B984" s="4" t="n"/>
      <c r="C984" s="6">
        <f>IFERROR(VLOOKUP($B984,Company_Cat!$B$2:$H$623,6,FALSE),"")</f>
        <v/>
      </c>
    </row>
    <row r="985">
      <c r="A985" s="6">
        <f>IFERROR(VLOOKUP($B985,Company_Cat!$B$2:$E$623,2,FALSE),"")</f>
        <v/>
      </c>
      <c r="B985" s="4" t="n"/>
      <c r="C985" s="6">
        <f>IFERROR(VLOOKUP($B985,Company_Cat!$B$2:$H$623,6,FALSE),"")</f>
        <v/>
      </c>
    </row>
    <row r="986">
      <c r="A986" s="6">
        <f>IFERROR(VLOOKUP($B986,Company_Cat!$B$2:$E$623,2,FALSE),"")</f>
        <v/>
      </c>
      <c r="B986" s="4" t="n"/>
      <c r="C986" s="6">
        <f>IFERROR(VLOOKUP($B986,Company_Cat!$B$2:$H$623,6,FALSE),"")</f>
        <v/>
      </c>
    </row>
    <row r="987">
      <c r="A987" s="6">
        <f>IFERROR(VLOOKUP($B987,Company_Cat!$B$2:$E$623,2,FALSE),"")</f>
        <v/>
      </c>
      <c r="B987" s="4" t="n"/>
      <c r="C987" s="6">
        <f>IFERROR(VLOOKUP($B987,Company_Cat!$B$2:$H$623,6,FALSE),"")</f>
        <v/>
      </c>
    </row>
    <row r="988">
      <c r="A988" s="6">
        <f>IFERROR(VLOOKUP($B988,Company_Cat!$B$2:$E$623,2,FALSE),"")</f>
        <v/>
      </c>
      <c r="B988" s="4" t="n"/>
      <c r="C988" s="6">
        <f>IFERROR(VLOOKUP($B988,Company_Cat!$B$2:$H$623,6,FALSE),"")</f>
        <v/>
      </c>
    </row>
    <row r="989">
      <c r="A989" s="6">
        <f>IFERROR(VLOOKUP($B989,Company_Cat!$B$2:$E$623,2,FALSE),"")</f>
        <v/>
      </c>
      <c r="B989" s="4" t="n"/>
      <c r="C989" s="6">
        <f>IFERROR(VLOOKUP($B989,Company_Cat!$B$2:$H$623,6,FALSE),"")</f>
        <v/>
      </c>
    </row>
    <row r="990">
      <c r="A990" s="6">
        <f>IFERROR(VLOOKUP($B990,Company_Cat!$B$2:$E$623,2,FALSE),"")</f>
        <v/>
      </c>
      <c r="B990" s="4" t="n"/>
      <c r="C990" s="6">
        <f>IFERROR(VLOOKUP($B990,Company_Cat!$B$2:$H$623,6,FALSE),"")</f>
        <v/>
      </c>
    </row>
    <row r="991">
      <c r="A991" s="6">
        <f>IFERROR(VLOOKUP($B991,Company_Cat!$B$2:$E$623,2,FALSE),"")</f>
        <v/>
      </c>
      <c r="B991" s="4" t="n"/>
      <c r="C991" s="6">
        <f>IFERROR(VLOOKUP($B991,Company_Cat!$B$2:$H$623,6,FALSE),"")</f>
        <v/>
      </c>
    </row>
    <row r="992">
      <c r="A992" s="6">
        <f>IFERROR(VLOOKUP($B992,Company_Cat!$B$2:$E$623,2,FALSE),"")</f>
        <v/>
      </c>
      <c r="B992" s="4" t="n"/>
      <c r="C992" s="6">
        <f>IFERROR(VLOOKUP($B992,Company_Cat!$B$2:$H$623,6,FALSE),"")</f>
        <v/>
      </c>
    </row>
    <row r="993">
      <c r="A993" s="6">
        <f>IFERROR(VLOOKUP($B993,Company_Cat!$B$2:$E$623,2,FALSE),"")</f>
        <v/>
      </c>
      <c r="B993" s="4" t="n"/>
      <c r="C993" s="6">
        <f>IFERROR(VLOOKUP($B993,Company_Cat!$B$2:$H$623,6,FALSE),"")</f>
        <v/>
      </c>
    </row>
    <row r="994">
      <c r="A994" s="6">
        <f>IFERROR(VLOOKUP($B994,Company_Cat!$B$2:$E$623,2,FALSE),"")</f>
        <v/>
      </c>
      <c r="B994" s="4" t="n"/>
      <c r="C994" s="6">
        <f>IFERROR(VLOOKUP($B994,Company_Cat!$B$2:$H$623,6,FALSE),"")</f>
        <v/>
      </c>
    </row>
    <row r="995">
      <c r="A995" s="6">
        <f>IFERROR(VLOOKUP($B995,Company_Cat!$B$2:$E$623,2,FALSE),"")</f>
        <v/>
      </c>
      <c r="B995" s="4" t="n"/>
      <c r="C995" s="6">
        <f>IFERROR(VLOOKUP($B995,Company_Cat!$B$2:$H$623,6,FALSE),"")</f>
        <v/>
      </c>
    </row>
    <row r="996">
      <c r="A996" s="6">
        <f>IFERROR(VLOOKUP($B996,Company_Cat!$B$2:$E$623,2,FALSE),"")</f>
        <v/>
      </c>
      <c r="B996" s="4" t="n"/>
      <c r="C996" s="6">
        <f>IFERROR(VLOOKUP($B996,Company_Cat!$B$2:$H$623,6,FALSE),"")</f>
        <v/>
      </c>
    </row>
    <row r="997">
      <c r="A997" s="6">
        <f>IFERROR(VLOOKUP($B997,Company_Cat!$B$2:$E$623,2,FALSE),"")</f>
        <v/>
      </c>
      <c r="B997" s="4" t="n"/>
      <c r="C997" s="6">
        <f>IFERROR(VLOOKUP($B997,Company_Cat!$B$2:$H$623,6,FALSE),"")</f>
        <v/>
      </c>
    </row>
    <row r="998">
      <c r="A998" s="6">
        <f>IFERROR(VLOOKUP($B998,Company_Cat!$B$2:$E$623,2,FALSE),"")</f>
        <v/>
      </c>
      <c r="B998" s="4" t="n"/>
      <c r="C998" s="6">
        <f>IFERROR(VLOOKUP($B998,Company_Cat!$B$2:$H$623,6,FALSE),"")</f>
        <v/>
      </c>
    </row>
    <row r="999">
      <c r="A999" s="6">
        <f>IFERROR(VLOOKUP($B999,Company_Cat!$B$2:$E$623,2,FALSE),"")</f>
        <v/>
      </c>
      <c r="B999" s="4" t="n"/>
      <c r="C999" s="6">
        <f>IFERROR(VLOOKUP($B999,Company_Cat!$B$2:$H$623,6,FALSE),"")</f>
        <v/>
      </c>
    </row>
    <row r="1000">
      <c r="A1000" s="6">
        <f>IFERROR(VLOOKUP($B1000,Company_Cat!$B$2:$E$623,2,FALSE),"")</f>
        <v/>
      </c>
      <c r="B1000" s="4" t="n"/>
      <c r="C1000" s="6">
        <f>IFERROR(VLOOKUP($B1000,Company_Cat!$B$2:$H$623,6,FALSE),"")</f>
        <v/>
      </c>
    </row>
  </sheetData>
  <autoFilter ref="A1:I1000"/>
  <hyperlinks>
    <hyperlink xmlns:r="http://schemas.openxmlformats.org/officeDocument/2006/relationships" ref="H14" r:id="rId1"/>
    <hyperlink xmlns:r="http://schemas.openxmlformats.org/officeDocument/2006/relationships" ref="H15" display="mailto:belindah@infinitiafrica.com" r:id="rId2"/>
    <hyperlink xmlns:r="http://schemas.openxmlformats.org/officeDocument/2006/relationships" ref="H18" r:id="rId3"/>
    <hyperlink xmlns:r="http://schemas.openxmlformats.org/officeDocument/2006/relationships" ref="H19" r:id="rId4"/>
    <hyperlink xmlns:r="http://schemas.openxmlformats.org/officeDocument/2006/relationships" ref="H20" r:id="rId5"/>
    <hyperlink xmlns:r="http://schemas.openxmlformats.org/officeDocument/2006/relationships" ref="H21" r:id="rId6"/>
    <hyperlink xmlns:r="http://schemas.openxmlformats.org/officeDocument/2006/relationships" ref="H22" r:id="rId7"/>
    <hyperlink xmlns:r="http://schemas.openxmlformats.org/officeDocument/2006/relationships" ref="H23" r:id="rId8"/>
    <hyperlink xmlns:r="http://schemas.openxmlformats.org/officeDocument/2006/relationships" ref="H24" r:id="rId9"/>
    <hyperlink xmlns:r="http://schemas.openxmlformats.org/officeDocument/2006/relationships" ref="H25" r:id="rId10"/>
    <hyperlink xmlns:r="http://schemas.openxmlformats.org/officeDocument/2006/relationships" ref="H26" r:id="rId11"/>
    <hyperlink xmlns:r="http://schemas.openxmlformats.org/officeDocument/2006/relationships" ref="H27" r:id="rId12"/>
    <hyperlink xmlns:r="http://schemas.openxmlformats.org/officeDocument/2006/relationships" ref="H29" r:id="rId13"/>
    <hyperlink xmlns:r="http://schemas.openxmlformats.org/officeDocument/2006/relationships" ref="H30" r:id="rId14"/>
    <hyperlink xmlns:r="http://schemas.openxmlformats.org/officeDocument/2006/relationships" ref="H31" r:id="rId15"/>
    <hyperlink xmlns:r="http://schemas.openxmlformats.org/officeDocument/2006/relationships" ref="H32" r:id="rId16"/>
    <hyperlink xmlns:r="http://schemas.openxmlformats.org/officeDocument/2006/relationships" ref="H33" r:id="rId17"/>
    <hyperlink xmlns:r="http://schemas.openxmlformats.org/officeDocument/2006/relationships" ref="H34" r:id="rId18"/>
    <hyperlink xmlns:r="http://schemas.openxmlformats.org/officeDocument/2006/relationships" ref="H35" r:id="rId19"/>
    <hyperlink xmlns:r="http://schemas.openxmlformats.org/officeDocument/2006/relationships" ref="H36" r:id="rId20"/>
    <hyperlink xmlns:r="http://schemas.openxmlformats.org/officeDocument/2006/relationships" ref="H37" r:id="rId21"/>
    <hyperlink xmlns:r="http://schemas.openxmlformats.org/officeDocument/2006/relationships" ref="H38" r:id="rId22"/>
    <hyperlink xmlns:r="http://schemas.openxmlformats.org/officeDocument/2006/relationships" ref="H39" r:id="rId23"/>
    <hyperlink xmlns:r="http://schemas.openxmlformats.org/officeDocument/2006/relationships" ref="H40" r:id="rId24"/>
    <hyperlink xmlns:r="http://schemas.openxmlformats.org/officeDocument/2006/relationships" ref="H41" r:id="rId25"/>
    <hyperlink xmlns:r="http://schemas.openxmlformats.org/officeDocument/2006/relationships" ref="H42" r:id="rId26"/>
    <hyperlink xmlns:r="http://schemas.openxmlformats.org/officeDocument/2006/relationships" ref="H43" r:id="rId27"/>
    <hyperlink xmlns:r="http://schemas.openxmlformats.org/officeDocument/2006/relationships" ref="H44" r:id="rId28"/>
    <hyperlink xmlns:r="http://schemas.openxmlformats.org/officeDocument/2006/relationships" ref="H45" r:id="rId29"/>
    <hyperlink xmlns:r="http://schemas.openxmlformats.org/officeDocument/2006/relationships" ref="H46" display="mailto:leandra@vektoraviation.co.za" r:id="rId30"/>
    <hyperlink xmlns:r="http://schemas.openxmlformats.org/officeDocument/2006/relationships" ref="H47" r:id="rId31"/>
    <hyperlink xmlns:r="http://schemas.openxmlformats.org/officeDocument/2006/relationships" ref="H48" r:id="rId32"/>
    <hyperlink xmlns:r="http://schemas.openxmlformats.org/officeDocument/2006/relationships" ref="H49" r:id="rId33"/>
    <hyperlink xmlns:r="http://schemas.openxmlformats.org/officeDocument/2006/relationships" ref="H50" r:id="rId34"/>
    <hyperlink xmlns:r="http://schemas.openxmlformats.org/officeDocument/2006/relationships" ref="H51" r:id="rId35"/>
    <hyperlink xmlns:r="http://schemas.openxmlformats.org/officeDocument/2006/relationships" ref="H52" r:id="rId36"/>
    <hyperlink xmlns:r="http://schemas.openxmlformats.org/officeDocument/2006/relationships" ref="H53" r:id="rId37"/>
    <hyperlink xmlns:r="http://schemas.openxmlformats.org/officeDocument/2006/relationships" ref="H54" r:id="rId38"/>
    <hyperlink xmlns:r="http://schemas.openxmlformats.org/officeDocument/2006/relationships" ref="H55" r:id="rId39"/>
    <hyperlink xmlns:r="http://schemas.openxmlformats.org/officeDocument/2006/relationships" ref="H56" r:id="rId40"/>
    <hyperlink xmlns:r="http://schemas.openxmlformats.org/officeDocument/2006/relationships" ref="H57" r:id="rId41"/>
    <hyperlink xmlns:r="http://schemas.openxmlformats.org/officeDocument/2006/relationships" ref="H59" r:id="rId42"/>
    <hyperlink xmlns:r="http://schemas.openxmlformats.org/officeDocument/2006/relationships" ref="H60" r:id="rId43"/>
    <hyperlink xmlns:r="http://schemas.openxmlformats.org/officeDocument/2006/relationships" ref="H61" r:id="rId44"/>
    <hyperlink xmlns:r="http://schemas.openxmlformats.org/officeDocument/2006/relationships" ref="H62" r:id="rId45"/>
    <hyperlink xmlns:r="http://schemas.openxmlformats.org/officeDocument/2006/relationships" ref="H63" r:id="rId46"/>
    <hyperlink xmlns:r="http://schemas.openxmlformats.org/officeDocument/2006/relationships" ref="H66" r:id="rId47"/>
    <hyperlink xmlns:r="http://schemas.openxmlformats.org/officeDocument/2006/relationships" ref="H69" r:id="rId48"/>
  </hyperlinks>
  <pageMargins left="0.7" right="0.7" top="0.75" bottom="0.75" header="0.3" footer="0.3"/>
  <pageSetup orientation="portrait"/>
</worksheet>
</file>

<file path=xl/worksheets/sheet6.xml><?xml version="1.0" encoding="utf-8"?>
<worksheet xmlns="http://schemas.openxmlformats.org/spreadsheetml/2006/main">
  <sheetPr>
    <outlinePr summaryBelow="1" summaryRight="1"/>
    <pageSetUpPr/>
  </sheetPr>
  <dimension ref="A1:D623"/>
  <sheetViews>
    <sheetView workbookViewId="0">
      <selection activeCell="A1" sqref="A1"/>
    </sheetView>
    <sheetView workbookViewId="1">
      <selection activeCell="A1" sqref="A1"/>
    </sheetView>
  </sheetViews>
  <sheetFormatPr baseColWidth="8" defaultColWidth="8.69921875" defaultRowHeight="13.8"/>
  <cols>
    <col width="4.69921875" bestFit="1" customWidth="1" min="1" max="1"/>
    <col width="24.19921875" bestFit="1" customWidth="1" min="2" max="2"/>
    <col width="5.69921875" bestFit="1" customWidth="1" min="3" max="3"/>
  </cols>
  <sheetData>
    <row r="1">
      <c r="A1" s="7" t="inlineStr">
        <is>
          <t>C_ID</t>
        </is>
      </c>
      <c r="B1" s="3" t="inlineStr">
        <is>
          <t>Company</t>
        </is>
      </c>
      <c r="C1" s="3" t="inlineStr">
        <is>
          <t>Order</t>
        </is>
      </c>
      <c r="D1" s="3" t="inlineStr">
        <is>
          <t>Notes</t>
        </is>
      </c>
    </row>
    <row r="2">
      <c r="A2" s="6">
        <f>IFERROR(VLOOKUP($B2,Company_Cat!$B$2:$E$623,2,FALSE),"")</f>
        <v/>
      </c>
      <c r="B2" s="4" t="inlineStr">
        <is>
          <t>Santam Aviation</t>
        </is>
      </c>
      <c r="C2" s="4" t="n"/>
      <c r="D2" s="4" t="inlineStr">
        <is>
          <t>Santam Aviation (a dedicated division) is widely regarded as South Africa’s leading aviation insurer, covering a wide range of private and corporate aircraft. They are known for financial stability and a strong track record, making them a reliable partner for aircraft coverage.</t>
        </is>
      </c>
    </row>
    <row r="3">
      <c r="A3" s="6">
        <f>IFERROR(VLOOKUP($B3,Company_Cat!$B$2:$E$623,2,FALSE),"")</f>
        <v/>
      </c>
      <c r="B3" s="4" t="inlineStr">
        <is>
          <t>iTOO Special Risks (Hollard)</t>
        </is>
      </c>
      <c r="C3" s="4" t="n"/>
      <c r="D3" s="4" t="inlineStr">
        <is>
          <t xml:space="preserve">heir policies (for hull, third-party liability, etc.) are comprehensive yet simplified, and backed by Hollard’s financial strength. </t>
        </is>
      </c>
    </row>
    <row r="4">
      <c r="A4" s="6">
        <f>IFERROR(VLOOKUP($B4,Company_Cat!$B$2:$E$623,2,FALSE),"")</f>
        <v/>
      </c>
      <c r="B4" s="4" t="inlineStr">
        <is>
          <t>Old Mutual Insure</t>
        </is>
      </c>
      <c r="C4" s="4" t="n"/>
      <c r="D4" s="4" t="inlineStr">
        <is>
          <t xml:space="preserve">Old Mutual’s Specialty Insurance division handles large and niche risks (e.g. engineering, marine) and can insure general aviation as part of bespoke solutions. </t>
        </is>
      </c>
    </row>
    <row r="5">
      <c r="A5" s="6">
        <f>IFERROR(VLOOKUP($B5,Company_Cat!$B$2:$E$623,2,FALSE),"")</f>
        <v/>
      </c>
      <c r="B5" s="4" t="inlineStr">
        <is>
          <t>Infiniti Insurance</t>
        </is>
      </c>
      <c r="C5" s="4" t="n"/>
      <c r="D5" s="4" t="inlineStr">
        <is>
          <t>Infiniti’s collaborative approach and growing presence in aviation insurance can be an opportunity – they are open to innovative solutions and have a flexible partnership philosophy</t>
        </is>
      </c>
    </row>
    <row r="6">
      <c r="A6" s="6">
        <f>IFERROR(VLOOKUP($B6,Company_Cat!$B$2:$E$623,2,FALSE),"")</f>
        <v/>
      </c>
      <c r="B6" s="4" t="inlineStr">
        <is>
          <t>Natsure (Guardrisk)</t>
        </is>
      </c>
      <c r="C6" s="4" t="n"/>
      <c r="D6" s="4" t="inlineStr">
        <is>
          <t>their aviation insurance solutions (including aircraft hull and liability, drone cover, etc.) are underwritten by Guardrisk Insurance, a leading cell-captive insurer</t>
        </is>
      </c>
    </row>
    <row r="7">
      <c r="A7" s="6">
        <f>IFERROR(VLOOKUP($B7,Company_Cat!$B$2:$E$623,2,FALSE),"")</f>
        <v/>
      </c>
      <c r="B7" s="4" t="inlineStr">
        <is>
          <t>Natsure (Guardrisk)</t>
        </is>
      </c>
      <c r="C7" s="4" t="n"/>
      <c r="D7" s="4" t="inlineStr">
        <is>
          <t>Natsure’s broad broker network across Southern Africa means they insure many private and commercial aircraft via various brokers, making them a noteworthy player in GA insurance.</t>
        </is>
      </c>
    </row>
    <row r="8">
      <c r="A8" s="6">
        <f>IFERROR(VLOOKUP($B8,Company_Cat!$B$2:$E$623,2,FALSE),"")</f>
        <v/>
      </c>
      <c r="B8" s="4" t="inlineStr">
        <is>
          <t>AIG South Africa</t>
        </is>
      </c>
      <c r="C8" s="4" t="n"/>
      <c r="D8" s="4" t="inlineStr">
        <is>
          <t>AIG’s aerospace division, for instance, offers policies for everything from “small aircraft operators to major airline manufacturers,” with dedicated aviation claims teams worldwide</t>
        </is>
      </c>
    </row>
    <row r="9">
      <c r="A9" s="6">
        <f>IFERROR(VLOOKUP($B9,Company_Cat!$B$2:$E$623,2,FALSE),"")</f>
        <v/>
      </c>
      <c r="B9" s="4" t="inlineStr">
        <is>
          <t>Lloyd’s of London</t>
        </is>
      </c>
      <c r="C9" s="4" t="n"/>
      <c r="D9" s="4" t="inlineStr">
        <is>
          <t>active via local brokers</t>
        </is>
      </c>
    </row>
    <row r="10">
      <c r="A10" s="6">
        <f>IFERROR(VLOOKUP($B10,Company_Cat!$B$2:$E$623,2,FALSE),"")</f>
        <v/>
      </c>
      <c r="B10" s="4" t="inlineStr">
        <is>
          <t>DJA Aviation (Dennis Jankelow &amp; Associates)</t>
        </is>
      </c>
      <c r="C10" s="4" t="n"/>
      <c r="D10" s="4" t="inlineStr">
        <is>
          <t>DJA is South Africa’s largest dedicated aviation insurance broker, with a team that represents the greatest concentration of aviation insurance expertise on the continent</t>
        </is>
      </c>
    </row>
    <row r="11">
      <c r="A11" s="6">
        <f>IFERROR(VLOOKUP($B11,Company_Cat!$B$2:$E$623,2,FALSE),"")</f>
        <v/>
      </c>
      <c r="B11" s="4" t="inlineStr">
        <is>
          <t>DJA Aviation (Dennis Jankelow &amp; Associates)</t>
        </is>
      </c>
      <c r="C11" s="4" t="n"/>
      <c r="D11" s="4" t="inlineStr">
        <is>
          <t>DJA arranges cover for a huge number of private and commercial aircraft owners. They balance cost, coverage, and service for clients, working with various underwriters (Santam, Lloyd’s, etc.)</t>
        </is>
      </c>
    </row>
    <row r="12">
      <c r="A12" s="6">
        <f>IFERROR(VLOOKUP($B12,Company_Cat!$B$2:$E$623,2,FALSE),"")</f>
        <v/>
      </c>
      <c r="B12" s="4" t="inlineStr">
        <is>
          <t>Airborne Insurance Consultants (PSG Insure)</t>
        </is>
      </c>
      <c r="C12" s="4" t="n"/>
      <c r="D12" s="4" t="inlineStr">
        <is>
          <t>PSG Insure became one of the biggest aviation brokers after acquiring Airborne Insurance Consultants, which was Africa’s fastest-growing independent aviation specialist</t>
        </is>
      </c>
    </row>
    <row r="13">
      <c r="A13" s="6">
        <f>IFERROR(VLOOKUP($B13,Company_Cat!$B$2:$E$623,2,FALSE),"")</f>
        <v/>
      </c>
      <c r="B13" s="4" t="inlineStr">
        <is>
          <t>Airborne Insurance Consultants (PSG Insure)</t>
        </is>
      </c>
      <c r="C13" s="4" t="n"/>
      <c r="D13" s="4" t="inlineStr">
        <is>
          <t>The merged PSG aviation division has a substantial client footprint across South Africa and insures over 1,000 aircraft owners (post-acquisition)</t>
        </is>
      </c>
    </row>
    <row r="14">
      <c r="A14" s="6">
        <f>IFERROR(VLOOKUP($B14,Company_Cat!$B$2:$E$623,2,FALSE),"")</f>
        <v/>
      </c>
      <c r="B14" s="4" t="inlineStr">
        <is>
          <t>Aon South Africa (Aviation Division)</t>
        </is>
      </c>
      <c r="C14" s="4" t="n"/>
      <c r="D14" s="4" t="inlineStr">
        <is>
          <t>They cover the aviation industry in its broadest sense – from small private planes and helicopters up to airlines and airports</t>
        </is>
      </c>
    </row>
    <row r="15">
      <c r="A15" s="6">
        <f>IFERROR(VLOOKUP($B15,Company_Cat!$B$2:$E$623,2,FALSE),"")</f>
        <v/>
      </c>
      <c r="B15" s="4" t="inlineStr">
        <is>
          <t>Marsh SA (Marsh &amp; McLennan)</t>
        </is>
      </c>
      <c r="C15" s="4" t="n"/>
      <c r="D15" s="4" t="inlineStr">
        <is>
          <t>They typically handle large corporate accounts (e.g. charter companies, commercial operators) but also arrange coverage for general aviation clients.</t>
        </is>
      </c>
    </row>
    <row r="16">
      <c r="A16" s="6">
        <f>IFERROR(VLOOKUP($B16,Company_Cat!$B$2:$E$623,2,FALSE),"")</f>
        <v/>
      </c>
      <c r="B16" s="4" t="inlineStr">
        <is>
          <t>Marsh SA (Marsh &amp; McLennan)</t>
        </is>
      </c>
      <c r="C16" s="4" t="n"/>
      <c r="D16" s="4" t="inlineStr">
        <is>
          <t>Marsh’s global scale and analytical approach (they are often listed among top aviation insurance brokers) mean they have access to major underwriters worldwide.</t>
        </is>
      </c>
    </row>
    <row r="17">
      <c r="A17" s="6">
        <f>IFERROR(VLOOKUP($B17,Company_Cat!$B$2:$E$623,2,FALSE),"")</f>
        <v/>
      </c>
      <c r="B17" s="4" t="inlineStr">
        <is>
          <t>Vektor Aviation</t>
        </is>
      </c>
      <c r="C17" s="4" t="n"/>
      <c r="D17" s="4" t="inlineStr">
        <is>
          <t>With over a decade in the industry and 1,000+ clients, Vektor markets itself as “South Africa’s premier aviation insurance broker</t>
        </is>
      </c>
    </row>
    <row r="18">
      <c r="A18" s="6">
        <f>IFERROR(VLOOKUP($B18,Company_Cat!$B$2:$E$623,2,FALSE),"")</f>
        <v/>
      </c>
      <c r="B18" s="4" t="inlineStr">
        <is>
          <t>Flightsure</t>
        </is>
      </c>
      <c r="C18" s="4" t="n"/>
      <c r="D18" s="4" t="inlineStr">
        <is>
          <t>Flightsure is a specialist aviation broker/consultant catering to a wide range of clients from private owners to airline operators</t>
        </is>
      </c>
    </row>
    <row r="19">
      <c r="A19" s="6">
        <f>IFERROR(VLOOKUP($B19,Company_Cat!$B$2:$E$623,2,FALSE),"")</f>
        <v/>
      </c>
      <c r="B19" s="4" t="inlineStr">
        <is>
          <t>Flightsure</t>
        </is>
      </c>
      <c r="C19" s="4" t="n"/>
      <c r="D19" s="4" t="inlineStr">
        <is>
          <t>They cover light fixed-wing aircraft, rotor-wing (helicopters), and even turbine operators. Flightsure’s value proposition is offering “innovative insurance packages at the lowest cost, without compromising the quality of the insurer”</t>
        </is>
      </c>
    </row>
    <row r="20">
      <c r="A20" s="6">
        <f>IFERROR(VLOOKUP($B20,Company_Cat!$B$2:$E$623,2,FALSE),"")</f>
        <v/>
      </c>
      <c r="B20" s="4" t="inlineStr">
        <is>
          <t>Flightsure</t>
        </is>
      </c>
      <c r="C20" s="4" t="n"/>
      <c r="D20" s="4" t="inlineStr">
        <is>
          <t>This focus on cost-effective solutions suggests they work with many owners of unpressurized aircraft who are budget-conscious. Partnering with Flightsure can be valuable because they strive to keep claims costs reasonable while maintaining quality – a reliable, cost-effective repair service for windows fits that philosophy well.</t>
        </is>
      </c>
    </row>
    <row r="21">
      <c r="A21" s="6">
        <f>IFERROR(VLOOKUP($B21,Company_Cat!$B$2:$E$623,2,FALSE),"")</f>
        <v/>
      </c>
      <c r="B21" s="4" t="inlineStr">
        <is>
          <t>Arc Aviation (Aircraft Risk Company)</t>
        </is>
      </c>
      <c r="C21" s="4" t="n"/>
      <c r="D21" s="4" t="inlineStr">
        <is>
          <t>ARC is an owner-managed aviation brokerage founded in 2005, originally focused on airlines and now providing bespoke insurance solutions across all classes of aviation</t>
        </is>
      </c>
    </row>
    <row r="22">
      <c r="A22" s="6">
        <f>IFERROR(VLOOKUP($B22,Company_Cat!$B$2:$E$623,2,FALSE),"")</f>
        <v/>
      </c>
      <c r="B22" s="4" t="inlineStr">
        <is>
          <t>Arc Aviation (Aircraft Risk Company)</t>
        </is>
      </c>
      <c r="C22" s="4" t="n"/>
      <c r="D22" s="4" t="inlineStr">
        <is>
          <t>By working with a broker like ARC, you gain a partner who will likely refer you to clients when claims arise, since they prioritize value-added service and sound advice (recommending proven suppliers aligns with that ethos).</t>
        </is>
      </c>
    </row>
    <row r="23">
      <c r="A23" s="6">
        <f>IFERROR(VLOOKUP($B23,Company_Cat!$B$2:$E$623,2,FALSE),"")</f>
        <v/>
      </c>
      <c r="B23" s="4" t="inlineStr">
        <is>
          <t>Willis Towers Watson</t>
        </is>
      </c>
      <c r="C23" s="4" t="n"/>
      <c r="D23" s="4" t="inlineStr">
        <is>
          <t>operates in SA and provides general aviation broking for corporate fleets.</t>
        </is>
      </c>
    </row>
    <row r="24">
      <c r="A24" s="6">
        <f>IFERROR(VLOOKUP($B24,Company_Cat!$B$2:$E$623,2,FALSE),"")</f>
        <v/>
      </c>
      <c r="B24" s="4" t="inlineStr">
        <is>
          <t>Flightsure</t>
        </is>
      </c>
      <c r="C24" s="4" t="n"/>
      <c r="D24" s="4" t="inlineStr">
        <is>
          <t>the Shareholders/ Directors are Dorrien Andrews, Mandy Coetzer and Gaile Mendes</t>
        </is>
      </c>
    </row>
    <row r="25">
      <c r="A25" s="6">
        <f>IFERROR(VLOOKUP($B25,Company_Cat!$B$2:$E$623,2,FALSE),"")</f>
        <v/>
      </c>
      <c r="B25" s="4" t="inlineStr">
        <is>
          <t>Flightsure</t>
        </is>
      </c>
      <c r="C25" s="4" t="n"/>
      <c r="D25" s="4" t="inlineStr">
        <is>
          <t>Our main focus is light to medium fixed wing aircraft as well as helicopters, which are mainly insured in the local South African Insurance Market. We also have access to all International Markets, which we use for the higher valued aircraft and helicopters.</t>
        </is>
      </c>
    </row>
    <row r="26">
      <c r="A26" s="6">
        <f>IFERROR(VLOOKUP($B26,Company_Cat!$B$2:$E$623,2,FALSE),"")</f>
        <v/>
      </c>
      <c r="B26" s="4" t="inlineStr">
        <is>
          <t>Flightsure</t>
        </is>
      </c>
      <c r="C26" s="4" t="n"/>
      <c r="D26" s="4" t="inlineStr">
        <is>
          <t>Product: Aviation Products and Repairers Liability Insurance</t>
        </is>
      </c>
    </row>
    <row r="27">
      <c r="A27" s="6">
        <f>IFERROR(VLOOKUP($B27,Company_Cat!$B$2:$E$623,2,FALSE),"")</f>
        <v/>
      </c>
      <c r="B27" s="4" t="inlineStr">
        <is>
          <t>Arc Aviation (Aircraft Risk Company)</t>
        </is>
      </c>
      <c r="C27" s="4" t="n"/>
      <c r="D27" s="4" t="inlineStr">
        <is>
          <t>Product: Spares, Equipment and Parts Insurance</t>
        </is>
      </c>
    </row>
    <row r="28">
      <c r="A28" s="6">
        <f>IFERROR(VLOOKUP($B28,Company_Cat!$B$2:$E$623,2,FALSE),"")</f>
        <v/>
      </c>
      <c r="B28" s="4" t="inlineStr">
        <is>
          <t>iTOO Special Risks (Hollard)</t>
        </is>
      </c>
      <c r="C28" s="4" t="n"/>
      <c r="D28" s="4" t="inlineStr">
        <is>
          <t>Product: Hull All Risks - Accidental damage to your aircraft while on the ground, taxiing or in the air</t>
        </is>
      </c>
    </row>
    <row r="29">
      <c r="A29" s="6">
        <f>IFERROR(VLOOKUP($B29,Company_Cat!$B$2:$E$623,2,FALSE),"")</f>
        <v/>
      </c>
      <c r="B29" s="4" t="inlineStr">
        <is>
          <t>iTOO Special Risks (Hollard)</t>
        </is>
      </c>
      <c r="C29" s="4" t="n"/>
      <c r="D29" s="4" t="inlineStr">
        <is>
          <t>They also cover Drones</t>
        </is>
      </c>
    </row>
    <row r="30">
      <c r="A30" s="6">
        <f>IFERROR(VLOOKUP($B30,Company_Cat!$B$2:$E$623,2,FALSE),"")</f>
        <v/>
      </c>
      <c r="B30" s="4" t="inlineStr">
        <is>
          <t>Infiniti Insurance</t>
        </is>
      </c>
      <c r="C30" s="4" t="n"/>
      <c r="D30" s="4" t="inlineStr">
        <is>
          <t>Product: Hull Cover &amp; Drone Cover</t>
        </is>
      </c>
    </row>
    <row r="31">
      <c r="A31" s="6">
        <f>IFERROR(VLOOKUP($B31,Company_Cat!$B$2:$E$623,2,FALSE),"")</f>
        <v/>
      </c>
      <c r="B31" s="4" t="inlineStr">
        <is>
          <t>Infiniti Insurance</t>
        </is>
      </c>
      <c r="C31" s="4" t="n"/>
      <c r="D31" s="4" t="inlineStr">
        <is>
          <t>Product: AMO Insurance</t>
        </is>
      </c>
    </row>
    <row r="32">
      <c r="A32" s="6">
        <f>IFERROR(VLOOKUP($B32,Company_Cat!$B$2:$E$623,2,FALSE),"")</f>
        <v/>
      </c>
      <c r="B32" s="4" t="inlineStr">
        <is>
          <t>AIG South Africa</t>
        </is>
      </c>
      <c r="C32" s="4" t="n"/>
      <c r="D32" s="4" t="inlineStr">
        <is>
          <t>Cost-efficient, flexible protection, and superior hull and liability coverage for owners, operators, and aircraft management companies</t>
        </is>
      </c>
    </row>
    <row r="33">
      <c r="A33" s="6">
        <f>IFERROR(VLOOKUP($B33,Company_Cat!$B$2:$E$623,2,FALSE),"")</f>
        <v/>
      </c>
      <c r="B33" s="4" t="inlineStr">
        <is>
          <t>AIG South Africa</t>
        </is>
      </c>
      <c r="C33" s="4" t="n">
        <v>1</v>
      </c>
      <c r="D33" s="4" t="inlineStr">
        <is>
          <t>Supplier Registration Done - Check AIG Supplier One Dashboard for Appearances etc.</t>
        </is>
      </c>
    </row>
    <row r="34">
      <c r="A34" s="6">
        <f>IFERROR(VLOOKUP($B34,Company_Cat!$B$2:$E$623,2,FALSE),"")</f>
        <v/>
      </c>
      <c r="B34" s="4" t="inlineStr">
        <is>
          <t>MCC Aviation(PTY) Ltd</t>
        </is>
      </c>
      <c r="C34" s="4" t="n"/>
      <c r="D34" s="4" t="inlineStr">
        <is>
          <t>Helicopter AMO - Lanseria</t>
        </is>
      </c>
    </row>
    <row r="35">
      <c r="A35" s="6">
        <f>IFERROR(VLOOKUP($B35,Company_Cat!$B$2:$E$623,2,FALSE),"")</f>
        <v/>
      </c>
      <c r="B35" s="4" t="inlineStr">
        <is>
          <t>Lady Lori Kenya Limited</t>
        </is>
      </c>
      <c r="C35" s="4" t="n"/>
      <c r="D35" s="4" t="inlineStr">
        <is>
          <t>Luxury helicopter charter and aero‑medical services in East Africa.</t>
        </is>
      </c>
    </row>
    <row r="36">
      <c r="A36" s="6">
        <f>IFERROR(VLOOKUP($B36,Company_Cat!$B$2:$E$623,2,FALSE),"")</f>
        <v/>
      </c>
      <c r="B36" s="4" t="inlineStr">
        <is>
          <t>Lady Lori Kenya Limited</t>
        </is>
      </c>
      <c r="C36" s="4" t="n"/>
      <c r="D36" s="4" t="inlineStr">
        <is>
          <t>AMO Services</t>
        </is>
      </c>
    </row>
    <row r="37">
      <c r="A37" s="6">
        <f>IFERROR(VLOOKUP($B37,Company_Cat!$B$2:$E$623,2,FALSE),"")</f>
        <v/>
      </c>
      <c r="B37" s="4" t="inlineStr">
        <is>
          <t>Ferreira Aviation CC</t>
        </is>
      </c>
      <c r="C37" s="4" t="n">
        <v>1</v>
      </c>
      <c r="D37" s="4" t="inlineStr">
        <is>
          <t>Clear indication that they need to be able to order by Serial number - need to convert from Acryl Form</t>
        </is>
      </c>
    </row>
    <row r="38">
      <c r="A38" s="6">
        <f>IFERROR(VLOOKUP($B38,Company_Cat!$B$2:$E$623,2,FALSE),"")</f>
        <v/>
      </c>
      <c r="B38" s="4" t="inlineStr">
        <is>
          <t>Lowveld Aircraft Services CC</t>
        </is>
      </c>
      <c r="C38" s="4" t="n"/>
      <c r="D38" s="4" t="inlineStr">
        <is>
          <t>Everyone might be dead or business sold</t>
        </is>
      </c>
    </row>
    <row r="39">
      <c r="A39" s="6">
        <f>IFERROR(VLOOKUP($B39,Company_Cat!$B$2:$E$623,2,FALSE),"")</f>
        <v/>
      </c>
      <c r="B39" s="4" t="n"/>
      <c r="C39" s="4" t="n"/>
      <c r="D39" s="4" t="n"/>
    </row>
    <row r="40">
      <c r="A40" s="6">
        <f>IFERROR(VLOOKUP($B40,Company_Cat!$B$2:$E$623,2,FALSE),"")</f>
        <v/>
      </c>
      <c r="B40" s="4" t="n"/>
      <c r="C40" s="4" t="n"/>
      <c r="D40" s="4" t="n"/>
    </row>
    <row r="41">
      <c r="A41" s="6">
        <f>IFERROR(VLOOKUP($B41,Company_Cat!$B$2:$E$623,2,FALSE),"")</f>
        <v/>
      </c>
      <c r="B41" s="4" t="n"/>
      <c r="C41" s="4" t="n"/>
      <c r="D41" s="4" t="n"/>
    </row>
    <row r="42">
      <c r="A42" s="6">
        <f>IFERROR(VLOOKUP($B42,Company_Cat!$B$2:$E$623,2,FALSE),"")</f>
        <v/>
      </c>
      <c r="B42" s="4" t="n"/>
      <c r="C42" s="4" t="n"/>
      <c r="D42" s="4" t="n"/>
    </row>
    <row r="43">
      <c r="A43" s="6">
        <f>IFERROR(VLOOKUP($B43,Company_Cat!$B$2:$E$623,2,FALSE),"")</f>
        <v/>
      </c>
      <c r="B43" s="4" t="n"/>
      <c r="C43" s="4" t="n"/>
      <c r="D43" s="4" t="n"/>
    </row>
    <row r="44">
      <c r="A44" s="6">
        <f>IFERROR(VLOOKUP($B44,Company_Cat!$B$2:$E$623,2,FALSE),"")</f>
        <v/>
      </c>
      <c r="B44" s="4" t="n"/>
      <c r="C44" s="4" t="n"/>
      <c r="D44" s="4" t="n"/>
    </row>
    <row r="45">
      <c r="A45" s="6">
        <f>IFERROR(VLOOKUP($B45,Company_Cat!$B$2:$E$623,2,FALSE),"")</f>
        <v/>
      </c>
      <c r="B45" s="4" t="n"/>
      <c r="C45" s="4" t="n"/>
      <c r="D45" s="4" t="n"/>
    </row>
    <row r="46">
      <c r="A46" s="6">
        <f>IFERROR(VLOOKUP($B46,Company_Cat!$B$2:$E$623,2,FALSE),"")</f>
        <v/>
      </c>
      <c r="B46" s="4" t="n"/>
      <c r="C46" s="4" t="n"/>
      <c r="D46" s="4" t="n"/>
    </row>
    <row r="47">
      <c r="A47" s="6">
        <f>IFERROR(VLOOKUP($B47,Company_Cat!$B$2:$E$623,2,FALSE),"")</f>
        <v/>
      </c>
      <c r="B47" s="4" t="n"/>
      <c r="C47" s="4" t="n"/>
      <c r="D47" s="4" t="n"/>
    </row>
    <row r="48">
      <c r="A48" s="6">
        <f>IFERROR(VLOOKUP($B48,Company_Cat!$B$2:$E$623,2,FALSE),"")</f>
        <v/>
      </c>
      <c r="B48" s="4" t="n"/>
      <c r="C48" s="4" t="n"/>
      <c r="D48" s="4" t="n"/>
    </row>
    <row r="49">
      <c r="A49" s="6">
        <f>IFERROR(VLOOKUP($B49,Company_Cat!$B$2:$E$623,2,FALSE),"")</f>
        <v/>
      </c>
      <c r="B49" s="4" t="n"/>
      <c r="C49" s="4" t="n"/>
      <c r="D49" s="4" t="n"/>
    </row>
    <row r="50">
      <c r="A50" s="6">
        <f>IFERROR(VLOOKUP($B50,Company_Cat!$B$2:$E$623,2,FALSE),"")</f>
        <v/>
      </c>
      <c r="B50" s="4" t="n"/>
      <c r="C50" s="4" t="n"/>
      <c r="D50" s="4" t="n"/>
    </row>
    <row r="51">
      <c r="A51" s="6">
        <f>IFERROR(VLOOKUP($B51,Company_Cat!$B$2:$E$623,2,FALSE),"")</f>
        <v/>
      </c>
      <c r="B51" s="4" t="n"/>
      <c r="C51" s="4" t="n"/>
      <c r="D51" s="4" t="n"/>
    </row>
    <row r="52">
      <c r="A52" s="6">
        <f>IFERROR(VLOOKUP($B52,Company_Cat!$B$2:$E$623,2,FALSE),"")</f>
        <v/>
      </c>
      <c r="B52" s="4" t="n"/>
      <c r="C52" s="4" t="n"/>
      <c r="D52" s="4" t="n"/>
    </row>
    <row r="53">
      <c r="A53" s="6">
        <f>IFERROR(VLOOKUP($B53,Company_Cat!$B$2:$E$623,2,FALSE),"")</f>
        <v/>
      </c>
      <c r="B53" s="4" t="n"/>
      <c r="C53" s="4" t="n"/>
      <c r="D53" s="4" t="n"/>
    </row>
    <row r="54">
      <c r="A54" s="6">
        <f>IFERROR(VLOOKUP($B54,Company_Cat!$B$2:$E$623,2,FALSE),"")</f>
        <v/>
      </c>
      <c r="B54" s="4" t="n"/>
      <c r="C54" s="4" t="n"/>
      <c r="D54" s="4" t="n"/>
    </row>
    <row r="55">
      <c r="A55" s="6">
        <f>IFERROR(VLOOKUP($B55,Company_Cat!$B$2:$E$623,2,FALSE),"")</f>
        <v/>
      </c>
      <c r="B55" s="4" t="n"/>
      <c r="C55" s="4" t="n"/>
      <c r="D55" s="4" t="n"/>
    </row>
    <row r="56">
      <c r="A56" s="6">
        <f>IFERROR(VLOOKUP($B56,Company_Cat!$B$2:$E$623,2,FALSE),"")</f>
        <v/>
      </c>
      <c r="B56" s="4" t="n"/>
      <c r="C56" s="4" t="n"/>
      <c r="D56" s="4" t="n"/>
    </row>
    <row r="57">
      <c r="A57" s="6">
        <f>IFERROR(VLOOKUP($B57,Company_Cat!$B$2:$E$623,2,FALSE),"")</f>
        <v/>
      </c>
      <c r="B57" s="4" t="n"/>
      <c r="C57" s="4" t="n"/>
      <c r="D57" s="4" t="n"/>
    </row>
    <row r="58">
      <c r="A58" s="6">
        <f>IFERROR(VLOOKUP($B58,Company_Cat!$B$2:$E$623,2,FALSE),"")</f>
        <v/>
      </c>
      <c r="B58" s="4" t="n"/>
      <c r="C58" s="4" t="n"/>
      <c r="D58" s="4" t="n"/>
    </row>
    <row r="59">
      <c r="A59" s="6">
        <f>IFERROR(VLOOKUP($B59,Company_Cat!$B$2:$E$623,2,FALSE),"")</f>
        <v/>
      </c>
      <c r="B59" s="4" t="n"/>
      <c r="C59" s="4" t="n"/>
      <c r="D59" s="4" t="n"/>
    </row>
    <row r="60">
      <c r="A60" s="6">
        <f>IFERROR(VLOOKUP($B60,Company_Cat!$B$2:$E$623,2,FALSE),"")</f>
        <v/>
      </c>
      <c r="B60" s="4" t="n"/>
      <c r="C60" s="4" t="n"/>
      <c r="D60" s="4" t="n"/>
    </row>
    <row r="61">
      <c r="A61" s="6">
        <f>IFERROR(VLOOKUP($B61,Company_Cat!$B$2:$E$623,2,FALSE),"")</f>
        <v/>
      </c>
      <c r="B61" s="4" t="n"/>
      <c r="C61" s="4" t="n"/>
      <c r="D61" s="4" t="n"/>
    </row>
    <row r="62">
      <c r="A62" s="6">
        <f>IFERROR(VLOOKUP($B62,Company_Cat!$B$2:$E$623,2,FALSE),"")</f>
        <v/>
      </c>
      <c r="B62" s="4" t="n"/>
      <c r="C62" s="4" t="n"/>
      <c r="D62" s="4" t="n"/>
    </row>
    <row r="63">
      <c r="A63" s="6">
        <f>IFERROR(VLOOKUP($B63,Company_Cat!$B$2:$E$623,2,FALSE),"")</f>
        <v/>
      </c>
      <c r="B63" s="4" t="n"/>
      <c r="C63" s="4" t="n"/>
      <c r="D63" s="4" t="n"/>
    </row>
    <row r="64">
      <c r="A64" s="6">
        <f>IFERROR(VLOOKUP($B64,Company_Cat!$B$2:$E$623,2,FALSE),"")</f>
        <v/>
      </c>
      <c r="B64" s="4" t="n"/>
      <c r="C64" s="4" t="n"/>
      <c r="D64" s="4" t="n"/>
    </row>
    <row r="65">
      <c r="A65" s="6">
        <f>IFERROR(VLOOKUP($B65,Company_Cat!$B$2:$E$623,2,FALSE),"")</f>
        <v/>
      </c>
      <c r="B65" s="4" t="n"/>
      <c r="C65" s="4" t="n"/>
      <c r="D65" s="4" t="n"/>
    </row>
    <row r="66">
      <c r="A66" s="6">
        <f>IFERROR(VLOOKUP($B66,Company_Cat!$B$2:$E$623,2,FALSE),"")</f>
        <v/>
      </c>
      <c r="B66" s="4" t="n"/>
      <c r="C66" s="4" t="n"/>
      <c r="D66" s="4" t="n"/>
    </row>
    <row r="67">
      <c r="A67" s="6">
        <f>IFERROR(VLOOKUP($B67,Company_Cat!$B$2:$E$623,2,FALSE),"")</f>
        <v/>
      </c>
      <c r="B67" s="4" t="n"/>
      <c r="C67" s="4" t="n"/>
      <c r="D67" s="4" t="n"/>
    </row>
    <row r="68">
      <c r="A68" s="6">
        <f>IFERROR(VLOOKUP($B68,Company_Cat!$B$2:$E$623,2,FALSE),"")</f>
        <v/>
      </c>
      <c r="B68" s="4" t="n"/>
      <c r="C68" s="4" t="n"/>
      <c r="D68" s="4" t="n"/>
    </row>
    <row r="69">
      <c r="A69" s="6">
        <f>IFERROR(VLOOKUP($B69,Company_Cat!$B$2:$E$623,2,FALSE),"")</f>
        <v/>
      </c>
      <c r="B69" s="4" t="n"/>
      <c r="C69" s="4" t="n"/>
      <c r="D69" s="4" t="n"/>
    </row>
    <row r="70">
      <c r="A70" s="6">
        <f>IFERROR(VLOOKUP($B70,Company_Cat!$B$2:$E$623,2,FALSE),"")</f>
        <v/>
      </c>
      <c r="B70" s="4" t="n"/>
      <c r="C70" s="4" t="n"/>
      <c r="D70" s="4" t="n"/>
    </row>
    <row r="71">
      <c r="A71" s="6">
        <f>IFERROR(VLOOKUP($B71,Company_Cat!$B$2:$E$623,2,FALSE),"")</f>
        <v/>
      </c>
      <c r="B71" s="4" t="n"/>
      <c r="C71" s="4" t="n"/>
      <c r="D71" s="4" t="n"/>
    </row>
    <row r="72">
      <c r="A72" s="6">
        <f>IFERROR(VLOOKUP($B72,Company_Cat!$B$2:$E$623,2,FALSE),"")</f>
        <v/>
      </c>
      <c r="B72" s="4" t="n"/>
      <c r="C72" s="4" t="n"/>
      <c r="D72" s="4" t="n"/>
    </row>
    <row r="73">
      <c r="A73" s="6">
        <f>IFERROR(VLOOKUP($B73,Company_Cat!$B$2:$E$623,2,FALSE),"")</f>
        <v/>
      </c>
      <c r="B73" s="4" t="n"/>
      <c r="C73" s="4" t="n"/>
      <c r="D73" s="4" t="n"/>
    </row>
    <row r="74">
      <c r="A74" s="6">
        <f>IFERROR(VLOOKUP($B74,Company_Cat!$B$2:$E$623,2,FALSE),"")</f>
        <v/>
      </c>
      <c r="B74" s="4" t="n"/>
      <c r="C74" s="4" t="n"/>
      <c r="D74" s="4" t="n"/>
    </row>
    <row r="75">
      <c r="A75" s="6">
        <f>IFERROR(VLOOKUP($B75,Company_Cat!$B$2:$E$623,2,FALSE),"")</f>
        <v/>
      </c>
      <c r="B75" s="4" t="n"/>
      <c r="C75" s="4" t="n"/>
      <c r="D75" s="4" t="n"/>
    </row>
    <row r="76">
      <c r="A76" s="6">
        <f>IFERROR(VLOOKUP($B76,Company_Cat!$B$2:$E$623,2,FALSE),"")</f>
        <v/>
      </c>
      <c r="B76" s="4" t="n"/>
      <c r="C76" s="4" t="n"/>
      <c r="D76" s="4" t="n"/>
    </row>
    <row r="77">
      <c r="A77" s="6">
        <f>IFERROR(VLOOKUP($B77,Company_Cat!$B$2:$E$623,2,FALSE),"")</f>
        <v/>
      </c>
      <c r="B77" s="4" t="n"/>
      <c r="C77" s="4" t="n"/>
      <c r="D77" s="4" t="n"/>
    </row>
    <row r="78">
      <c r="A78" s="6">
        <f>IFERROR(VLOOKUP($B78,Company_Cat!$B$2:$E$623,2,FALSE),"")</f>
        <v/>
      </c>
      <c r="B78" s="4" t="n"/>
      <c r="C78" s="4" t="n"/>
      <c r="D78" s="4" t="n"/>
    </row>
    <row r="79">
      <c r="A79" s="6">
        <f>IFERROR(VLOOKUP($B79,Company_Cat!$B$2:$E$623,2,FALSE),"")</f>
        <v/>
      </c>
      <c r="B79" s="4" t="n"/>
      <c r="C79" s="4" t="n"/>
      <c r="D79" s="4" t="n"/>
    </row>
    <row r="80">
      <c r="A80" s="6">
        <f>IFERROR(VLOOKUP($B80,Company_Cat!$B$2:$E$623,2,FALSE),"")</f>
        <v/>
      </c>
      <c r="B80" s="4" t="n"/>
      <c r="C80" s="4" t="n"/>
      <c r="D80" s="4" t="n"/>
    </row>
    <row r="81">
      <c r="A81" s="6">
        <f>IFERROR(VLOOKUP($B81,Company_Cat!$B$2:$E$623,2,FALSE),"")</f>
        <v/>
      </c>
      <c r="B81" s="4" t="n"/>
      <c r="C81" s="4" t="n"/>
      <c r="D81" s="4" t="n"/>
    </row>
    <row r="82">
      <c r="A82" s="6">
        <f>IFERROR(VLOOKUP($B82,Company_Cat!$B$2:$E$623,2,FALSE),"")</f>
        <v/>
      </c>
      <c r="B82" s="4" t="n"/>
      <c r="C82" s="4" t="n"/>
      <c r="D82" s="4" t="n"/>
    </row>
    <row r="83">
      <c r="A83" s="6">
        <f>IFERROR(VLOOKUP($B83,Company_Cat!$B$2:$E$623,2,FALSE),"")</f>
        <v/>
      </c>
      <c r="B83" s="4" t="n"/>
      <c r="C83" s="4" t="n"/>
      <c r="D83" s="4" t="n"/>
    </row>
    <row r="84">
      <c r="A84" s="6">
        <f>IFERROR(VLOOKUP($B84,Company_Cat!$B$2:$E$623,2,FALSE),"")</f>
        <v/>
      </c>
      <c r="B84" s="4" t="n"/>
      <c r="C84" s="4" t="n"/>
      <c r="D84" s="4" t="n"/>
    </row>
    <row r="85">
      <c r="A85" s="6">
        <f>IFERROR(VLOOKUP($B85,Company_Cat!$B$2:$E$623,2,FALSE),"")</f>
        <v/>
      </c>
      <c r="B85" s="4" t="n"/>
      <c r="C85" s="4" t="n"/>
      <c r="D85" s="4" t="n"/>
    </row>
    <row r="86">
      <c r="A86" s="6">
        <f>IFERROR(VLOOKUP($B86,Company_Cat!$B$2:$E$623,2,FALSE),"")</f>
        <v/>
      </c>
      <c r="B86" s="4" t="n"/>
      <c r="C86" s="4" t="n"/>
      <c r="D86" s="4" t="n"/>
    </row>
    <row r="87">
      <c r="A87" s="6">
        <f>IFERROR(VLOOKUP($B87,Company_Cat!$B$2:$E$623,2,FALSE),"")</f>
        <v/>
      </c>
      <c r="B87" s="4" t="n"/>
      <c r="C87" s="4" t="n"/>
      <c r="D87" s="4" t="n"/>
    </row>
    <row r="88">
      <c r="A88" s="6">
        <f>IFERROR(VLOOKUP($B88,Company_Cat!$B$2:$E$623,2,FALSE),"")</f>
        <v/>
      </c>
      <c r="B88" s="4" t="n"/>
      <c r="C88" s="4" t="n"/>
      <c r="D88" s="4" t="n"/>
    </row>
    <row r="89">
      <c r="A89" s="6">
        <f>IFERROR(VLOOKUP($B89,Company_Cat!$B$2:$E$623,2,FALSE),"")</f>
        <v/>
      </c>
      <c r="B89" s="4" t="n"/>
      <c r="C89" s="4" t="n"/>
      <c r="D89" s="4" t="n"/>
    </row>
    <row r="90">
      <c r="A90" s="6">
        <f>IFERROR(VLOOKUP($B90,Company_Cat!$B$2:$E$623,2,FALSE),"")</f>
        <v/>
      </c>
      <c r="B90" s="4" t="n"/>
      <c r="C90" s="4" t="n"/>
      <c r="D90" s="4" t="n"/>
    </row>
    <row r="91">
      <c r="A91" s="6">
        <f>IFERROR(VLOOKUP($B91,Company_Cat!$B$2:$E$623,2,FALSE),"")</f>
        <v/>
      </c>
      <c r="B91" s="4" t="n"/>
      <c r="C91" s="4" t="n"/>
      <c r="D91" s="4" t="n"/>
    </row>
    <row r="92">
      <c r="A92" s="6">
        <f>IFERROR(VLOOKUP($B92,Company_Cat!$B$2:$E$623,2,FALSE),"")</f>
        <v/>
      </c>
      <c r="B92" s="4" t="n"/>
      <c r="C92" s="4" t="n"/>
      <c r="D92" s="4" t="n"/>
    </row>
    <row r="93">
      <c r="A93" s="6">
        <f>IFERROR(VLOOKUP($B93,Company_Cat!$B$2:$E$623,2,FALSE),"")</f>
        <v/>
      </c>
      <c r="B93" s="4" t="n"/>
      <c r="C93" s="4" t="n"/>
      <c r="D93" s="4" t="n"/>
    </row>
    <row r="94">
      <c r="A94" s="6">
        <f>IFERROR(VLOOKUP($B94,Company_Cat!$B$2:$E$623,2,FALSE),"")</f>
        <v/>
      </c>
      <c r="B94" s="4" t="n"/>
      <c r="C94" s="4" t="n"/>
      <c r="D94" s="4" t="n"/>
    </row>
    <row r="95">
      <c r="A95" s="6">
        <f>IFERROR(VLOOKUP($B95,Company_Cat!$B$2:$E$623,2,FALSE),"")</f>
        <v/>
      </c>
      <c r="B95" s="4" t="n"/>
      <c r="C95" s="4" t="n"/>
      <c r="D95" s="4" t="n"/>
    </row>
    <row r="96">
      <c r="A96" s="6">
        <f>IFERROR(VLOOKUP($B96,Company_Cat!$B$2:$E$623,2,FALSE),"")</f>
        <v/>
      </c>
      <c r="B96" s="4" t="n"/>
      <c r="C96" s="4" t="n"/>
      <c r="D96" s="4" t="n"/>
    </row>
    <row r="97">
      <c r="A97" s="6">
        <f>IFERROR(VLOOKUP($B97,Company_Cat!$B$2:$E$623,2,FALSE),"")</f>
        <v/>
      </c>
      <c r="B97" s="4" t="n"/>
      <c r="C97" s="4" t="n"/>
      <c r="D97" s="4" t="n"/>
    </row>
    <row r="98">
      <c r="A98" s="6">
        <f>IFERROR(VLOOKUP($B98,Company_Cat!$B$2:$E$623,2,FALSE),"")</f>
        <v/>
      </c>
      <c r="B98" s="4" t="n"/>
      <c r="C98" s="4" t="n"/>
      <c r="D98" s="4" t="n"/>
    </row>
    <row r="99">
      <c r="A99" s="6">
        <f>IFERROR(VLOOKUP($B99,Company_Cat!$B$2:$E$623,2,FALSE),"")</f>
        <v/>
      </c>
      <c r="B99" s="4" t="n"/>
      <c r="C99" s="4" t="n"/>
      <c r="D99" s="4" t="n"/>
    </row>
    <row r="100">
      <c r="A100" s="6">
        <f>IFERROR(VLOOKUP($B100,Company_Cat!$B$2:$E$623,2,FALSE),"")</f>
        <v/>
      </c>
      <c r="B100" s="4" t="n"/>
      <c r="C100" s="4" t="n"/>
      <c r="D100" s="4" t="n"/>
    </row>
    <row r="101">
      <c r="A101" s="6">
        <f>IFERROR(VLOOKUP($B101,Company_Cat!$B$2:$E$623,2,FALSE),"")</f>
        <v/>
      </c>
      <c r="B101" s="4" t="n"/>
      <c r="C101" s="4" t="n"/>
      <c r="D101" s="4" t="n"/>
    </row>
    <row r="102">
      <c r="A102" s="6">
        <f>IFERROR(VLOOKUP($B102,Company_Cat!$B$2:$E$623,2,FALSE),"")</f>
        <v/>
      </c>
      <c r="B102" s="4" t="n"/>
      <c r="C102" s="4" t="n"/>
      <c r="D102" s="4" t="n"/>
    </row>
    <row r="103">
      <c r="A103" s="6">
        <f>IFERROR(VLOOKUP($B103,Company_Cat!$B$2:$E$623,2,FALSE),"")</f>
        <v/>
      </c>
      <c r="B103" s="4" t="n"/>
      <c r="C103" s="4" t="n"/>
      <c r="D103" s="4" t="n"/>
    </row>
    <row r="104">
      <c r="A104" s="6">
        <f>IFERROR(VLOOKUP($B104,Company_Cat!$B$2:$E$623,2,FALSE),"")</f>
        <v/>
      </c>
      <c r="B104" s="4" t="n"/>
      <c r="C104" s="4" t="n"/>
      <c r="D104" s="4" t="n"/>
    </row>
    <row r="105">
      <c r="A105" s="6">
        <f>IFERROR(VLOOKUP($B105,Company_Cat!$B$2:$E$623,2,FALSE),"")</f>
        <v/>
      </c>
      <c r="B105" s="4" t="n"/>
      <c r="C105" s="4" t="n"/>
      <c r="D105" s="4" t="n"/>
    </row>
    <row r="106">
      <c r="A106" s="6">
        <f>IFERROR(VLOOKUP($B106,Company_Cat!$B$2:$E$623,2,FALSE),"")</f>
        <v/>
      </c>
      <c r="B106" s="4" t="n"/>
      <c r="C106" s="4" t="n"/>
      <c r="D106" s="4" t="n"/>
    </row>
    <row r="107">
      <c r="A107" s="6">
        <f>IFERROR(VLOOKUP($B107,Company_Cat!$B$2:$E$623,2,FALSE),"")</f>
        <v/>
      </c>
      <c r="B107" s="4" t="n"/>
      <c r="C107" s="4" t="n"/>
      <c r="D107" s="4" t="n"/>
    </row>
    <row r="108">
      <c r="A108" s="6">
        <f>IFERROR(VLOOKUP($B108,Company_Cat!$B$2:$E$623,2,FALSE),"")</f>
        <v/>
      </c>
      <c r="B108" s="4" t="n"/>
      <c r="C108" s="4" t="n"/>
      <c r="D108" s="4" t="n"/>
    </row>
    <row r="109">
      <c r="A109" s="6">
        <f>IFERROR(VLOOKUP($B109,Company_Cat!$B$2:$E$623,2,FALSE),"")</f>
        <v/>
      </c>
      <c r="B109" s="4" t="n"/>
      <c r="C109" s="4" t="n"/>
      <c r="D109" s="4" t="n"/>
    </row>
    <row r="110">
      <c r="A110" s="6">
        <f>IFERROR(VLOOKUP($B110,Company_Cat!$B$2:$E$623,2,FALSE),"")</f>
        <v/>
      </c>
      <c r="B110" s="4" t="n"/>
      <c r="C110" s="4" t="n"/>
      <c r="D110" s="4" t="n"/>
    </row>
    <row r="111">
      <c r="A111" s="6">
        <f>IFERROR(VLOOKUP($B111,Company_Cat!$B$2:$E$623,2,FALSE),"")</f>
        <v/>
      </c>
      <c r="B111" s="4" t="n"/>
      <c r="C111" s="4" t="n"/>
      <c r="D111" s="4" t="n"/>
    </row>
    <row r="112">
      <c r="A112" s="6">
        <f>IFERROR(VLOOKUP($B112,Company_Cat!$B$2:$E$623,2,FALSE),"")</f>
        <v/>
      </c>
      <c r="B112" s="4" t="n"/>
      <c r="C112" s="4" t="n"/>
      <c r="D112" s="4" t="n"/>
    </row>
    <row r="113">
      <c r="A113" s="6">
        <f>IFERROR(VLOOKUP($B113,Company_Cat!$B$2:$E$623,2,FALSE),"")</f>
        <v/>
      </c>
      <c r="B113" s="4" t="n"/>
      <c r="C113" s="4" t="n"/>
      <c r="D113" s="4" t="n"/>
    </row>
    <row r="114">
      <c r="A114" s="6">
        <f>IFERROR(VLOOKUP($B114,Company_Cat!$B$2:$E$623,2,FALSE),"")</f>
        <v/>
      </c>
      <c r="B114" s="4" t="n"/>
      <c r="C114" s="4" t="n"/>
      <c r="D114" s="4" t="n"/>
    </row>
    <row r="115">
      <c r="A115" s="6">
        <f>IFERROR(VLOOKUP($B115,Company_Cat!$B$2:$E$623,2,FALSE),"")</f>
        <v/>
      </c>
      <c r="B115" s="4" t="n"/>
      <c r="C115" s="4" t="n"/>
      <c r="D115" s="4" t="n"/>
    </row>
    <row r="116">
      <c r="A116" s="6">
        <f>IFERROR(VLOOKUP($B116,Company_Cat!$B$2:$E$623,2,FALSE),"")</f>
        <v/>
      </c>
      <c r="B116" s="4" t="n"/>
      <c r="C116" s="4" t="n"/>
      <c r="D116" s="4" t="n"/>
    </row>
    <row r="117">
      <c r="A117" s="6">
        <f>IFERROR(VLOOKUP($B117,Company_Cat!$B$2:$E$623,2,FALSE),"")</f>
        <v/>
      </c>
      <c r="B117" s="4" t="n"/>
      <c r="C117" s="4" t="n"/>
      <c r="D117" s="4" t="n"/>
    </row>
    <row r="118">
      <c r="A118" s="6">
        <f>IFERROR(VLOOKUP($B118,Company_Cat!$B$2:$E$623,2,FALSE),"")</f>
        <v/>
      </c>
      <c r="B118" s="4" t="n"/>
      <c r="C118" s="4" t="n"/>
      <c r="D118" s="4" t="n"/>
    </row>
    <row r="119">
      <c r="A119" s="6">
        <f>IFERROR(VLOOKUP($B119,Company_Cat!$B$2:$E$623,2,FALSE),"")</f>
        <v/>
      </c>
      <c r="B119" s="4" t="n"/>
      <c r="C119" s="4" t="n"/>
      <c r="D119" s="4" t="n"/>
    </row>
    <row r="120">
      <c r="A120" s="6">
        <f>IFERROR(VLOOKUP($B120,Company_Cat!$B$2:$E$623,2,FALSE),"")</f>
        <v/>
      </c>
      <c r="B120" s="4" t="n"/>
      <c r="C120" s="4" t="n"/>
      <c r="D120" s="4" t="n"/>
    </row>
    <row r="121">
      <c r="A121" s="6">
        <f>IFERROR(VLOOKUP($B121,Company_Cat!$B$2:$E$623,2,FALSE),"")</f>
        <v/>
      </c>
      <c r="B121" s="4" t="n"/>
      <c r="C121" s="4" t="n"/>
      <c r="D121" s="4" t="n"/>
    </row>
    <row r="122">
      <c r="A122" s="6">
        <f>IFERROR(VLOOKUP($B122,Company_Cat!$B$2:$E$623,2,FALSE),"")</f>
        <v/>
      </c>
      <c r="B122" s="4" t="n"/>
      <c r="C122" s="4" t="n"/>
      <c r="D122" s="4" t="n"/>
    </row>
    <row r="123">
      <c r="A123" s="6">
        <f>IFERROR(VLOOKUP($B123,Company_Cat!$B$2:$E$623,2,FALSE),"")</f>
        <v/>
      </c>
      <c r="B123" s="4" t="n"/>
      <c r="C123" s="4" t="n"/>
      <c r="D123" s="4" t="n"/>
    </row>
    <row r="124">
      <c r="A124" s="6">
        <f>IFERROR(VLOOKUP($B124,Company_Cat!$B$2:$E$623,2,FALSE),"")</f>
        <v/>
      </c>
      <c r="B124" s="4" t="n"/>
      <c r="C124" s="4" t="n"/>
      <c r="D124" s="4" t="n"/>
    </row>
    <row r="125">
      <c r="A125" s="6">
        <f>IFERROR(VLOOKUP($B125,Company_Cat!$B$2:$E$623,2,FALSE),"")</f>
        <v/>
      </c>
      <c r="B125" s="4" t="n"/>
      <c r="C125" s="4" t="n"/>
      <c r="D125" s="4" t="n"/>
    </row>
    <row r="126">
      <c r="A126" s="6">
        <f>IFERROR(VLOOKUP($B126,Company_Cat!$B$2:$E$623,2,FALSE),"")</f>
        <v/>
      </c>
      <c r="B126" s="4" t="n"/>
      <c r="C126" s="4" t="n"/>
      <c r="D126" s="4" t="n"/>
    </row>
    <row r="127">
      <c r="A127" s="6">
        <f>IFERROR(VLOOKUP($B127,Company_Cat!$B$2:$E$623,2,FALSE),"")</f>
        <v/>
      </c>
      <c r="B127" s="4" t="n"/>
      <c r="C127" s="4" t="n"/>
      <c r="D127" s="4" t="n"/>
    </row>
    <row r="128">
      <c r="A128" s="6">
        <f>IFERROR(VLOOKUP($B128,Company_Cat!$B$2:$E$623,2,FALSE),"")</f>
        <v/>
      </c>
      <c r="B128" s="4" t="n"/>
      <c r="C128" s="4" t="n"/>
      <c r="D128" s="4" t="n"/>
    </row>
    <row r="129">
      <c r="A129" s="6">
        <f>IFERROR(VLOOKUP($B129,Company_Cat!$B$2:$E$623,2,FALSE),"")</f>
        <v/>
      </c>
      <c r="B129" s="4" t="n"/>
      <c r="C129" s="4" t="n"/>
      <c r="D129" s="4" t="n"/>
    </row>
    <row r="130">
      <c r="A130" s="6">
        <f>IFERROR(VLOOKUP($B130,Company_Cat!$B$2:$E$623,2,FALSE),"")</f>
        <v/>
      </c>
      <c r="B130" s="4" t="n"/>
      <c r="C130" s="4" t="n"/>
      <c r="D130" s="4" t="n"/>
    </row>
    <row r="131">
      <c r="A131" s="6">
        <f>IFERROR(VLOOKUP($B131,Company_Cat!$B$2:$E$623,2,FALSE),"")</f>
        <v/>
      </c>
      <c r="B131" s="4" t="n"/>
      <c r="C131" s="4" t="n"/>
      <c r="D131" s="4" t="n"/>
    </row>
    <row r="132">
      <c r="A132" s="6">
        <f>IFERROR(VLOOKUP($B132,Company_Cat!$B$2:$E$623,2,FALSE),"")</f>
        <v/>
      </c>
      <c r="B132" s="4" t="n"/>
      <c r="C132" s="4" t="n"/>
      <c r="D132" s="4" t="n"/>
    </row>
    <row r="133">
      <c r="A133" s="6">
        <f>IFERROR(VLOOKUP($B133,Company_Cat!$B$2:$E$623,2,FALSE),"")</f>
        <v/>
      </c>
      <c r="B133" s="4" t="n"/>
      <c r="C133" s="4" t="n"/>
      <c r="D133" s="4" t="n"/>
    </row>
    <row r="134">
      <c r="A134" s="6">
        <f>IFERROR(VLOOKUP($B134,Company_Cat!$B$2:$E$623,2,FALSE),"")</f>
        <v/>
      </c>
      <c r="B134" s="4" t="n"/>
      <c r="C134" s="4" t="n"/>
      <c r="D134" s="4" t="n"/>
    </row>
    <row r="135">
      <c r="A135" s="6">
        <f>IFERROR(VLOOKUP($B135,Company_Cat!$B$2:$E$623,2,FALSE),"")</f>
        <v/>
      </c>
      <c r="B135" s="4" t="n"/>
      <c r="C135" s="4" t="n"/>
      <c r="D135" s="4" t="n"/>
    </row>
    <row r="136">
      <c r="A136" s="6">
        <f>IFERROR(VLOOKUP($B136,Company_Cat!$B$2:$E$623,2,FALSE),"")</f>
        <v/>
      </c>
      <c r="B136" s="4" t="n"/>
      <c r="C136" s="4" t="n"/>
      <c r="D136" s="4" t="n"/>
    </row>
    <row r="137">
      <c r="A137" s="6">
        <f>IFERROR(VLOOKUP($B137,Company_Cat!$B$2:$E$623,2,FALSE),"")</f>
        <v/>
      </c>
      <c r="B137" s="4" t="n"/>
      <c r="C137" s="4" t="n"/>
      <c r="D137" s="4" t="n"/>
    </row>
    <row r="138">
      <c r="A138" s="6">
        <f>IFERROR(VLOOKUP($B138,Company_Cat!$B$2:$E$623,2,FALSE),"")</f>
        <v/>
      </c>
      <c r="B138" s="4" t="n"/>
      <c r="C138" s="4" t="n"/>
      <c r="D138" s="4" t="n"/>
    </row>
    <row r="139">
      <c r="A139" s="6">
        <f>IFERROR(VLOOKUP($B139,Company_Cat!$B$2:$E$623,2,FALSE),"")</f>
        <v/>
      </c>
      <c r="B139" s="4" t="n"/>
      <c r="C139" s="4" t="n"/>
      <c r="D139" s="4" t="n"/>
    </row>
    <row r="140">
      <c r="A140" s="6">
        <f>IFERROR(VLOOKUP($B140,Company_Cat!$B$2:$E$623,2,FALSE),"")</f>
        <v/>
      </c>
      <c r="B140" s="4" t="n"/>
      <c r="C140" s="4" t="n"/>
      <c r="D140" s="4" t="n"/>
    </row>
    <row r="141">
      <c r="A141" s="6">
        <f>IFERROR(VLOOKUP($B141,Company_Cat!$B$2:$E$623,2,FALSE),"")</f>
        <v/>
      </c>
      <c r="B141" s="4" t="n"/>
      <c r="C141" s="4" t="n"/>
      <c r="D141" s="4" t="n"/>
    </row>
    <row r="142">
      <c r="A142" s="6">
        <f>IFERROR(VLOOKUP($B142,Company_Cat!$B$2:$E$623,2,FALSE),"")</f>
        <v/>
      </c>
      <c r="B142" s="4" t="n"/>
      <c r="C142" s="4" t="n"/>
      <c r="D142" s="4" t="n"/>
    </row>
    <row r="143">
      <c r="A143" s="6">
        <f>IFERROR(VLOOKUP($B143,Company_Cat!$B$2:$E$623,2,FALSE),"")</f>
        <v/>
      </c>
      <c r="B143" s="4" t="n"/>
      <c r="C143" s="4" t="n"/>
      <c r="D143" s="4" t="n"/>
    </row>
    <row r="144">
      <c r="A144" s="6">
        <f>IFERROR(VLOOKUP($B144,Company_Cat!$B$2:$E$623,2,FALSE),"")</f>
        <v/>
      </c>
      <c r="B144" s="4" t="n"/>
      <c r="C144" s="4" t="n"/>
      <c r="D144" s="4" t="n"/>
    </row>
    <row r="145">
      <c r="A145" s="6">
        <f>IFERROR(VLOOKUP($B145,Company_Cat!$B$2:$E$623,2,FALSE),"")</f>
        <v/>
      </c>
      <c r="B145" s="4" t="n"/>
      <c r="C145" s="4" t="n"/>
      <c r="D145" s="4" t="n"/>
    </row>
    <row r="146">
      <c r="A146" s="6">
        <f>IFERROR(VLOOKUP($B146,Company_Cat!$B$2:$E$623,2,FALSE),"")</f>
        <v/>
      </c>
      <c r="B146" s="4" t="n"/>
      <c r="C146" s="4" t="n"/>
      <c r="D146" s="4" t="n"/>
    </row>
    <row r="147">
      <c r="A147" s="6">
        <f>IFERROR(VLOOKUP($B147,Company_Cat!$B$2:$E$623,2,FALSE),"")</f>
        <v/>
      </c>
      <c r="B147" s="4" t="n"/>
      <c r="C147" s="4" t="n"/>
      <c r="D147" s="4" t="n"/>
    </row>
    <row r="148">
      <c r="A148" s="6">
        <f>IFERROR(VLOOKUP($B148,Company_Cat!$B$2:$E$623,2,FALSE),"")</f>
        <v/>
      </c>
      <c r="B148" s="4" t="n"/>
      <c r="C148" s="4" t="n"/>
      <c r="D148" s="4" t="n"/>
    </row>
    <row r="149">
      <c r="A149" s="6">
        <f>IFERROR(VLOOKUP($B149,Company_Cat!$B$2:$E$623,2,FALSE),"")</f>
        <v/>
      </c>
      <c r="B149" s="4" t="n"/>
      <c r="C149" s="4" t="n"/>
      <c r="D149" s="4" t="n"/>
    </row>
    <row r="150">
      <c r="A150" s="6">
        <f>IFERROR(VLOOKUP($B150,Company_Cat!$B$2:$E$623,2,FALSE),"")</f>
        <v/>
      </c>
      <c r="B150" s="4" t="n"/>
      <c r="C150" s="4" t="n"/>
      <c r="D150" s="4" t="n"/>
    </row>
    <row r="151">
      <c r="A151" s="6">
        <f>IFERROR(VLOOKUP($B151,Company_Cat!$B$2:$E$623,2,FALSE),"")</f>
        <v/>
      </c>
      <c r="B151" s="4" t="n"/>
      <c r="C151" s="4" t="n"/>
      <c r="D151" s="4" t="n"/>
    </row>
    <row r="152">
      <c r="A152" s="6">
        <f>IFERROR(VLOOKUP($B152,Company_Cat!$B$2:$E$623,2,FALSE),"")</f>
        <v/>
      </c>
      <c r="B152" s="4" t="n"/>
      <c r="C152" s="4" t="n"/>
      <c r="D152" s="4" t="n"/>
    </row>
    <row r="153">
      <c r="A153" s="6">
        <f>IFERROR(VLOOKUP($B153,Company_Cat!$B$2:$E$623,2,FALSE),"")</f>
        <v/>
      </c>
      <c r="B153" s="4" t="n"/>
      <c r="C153" s="4" t="n"/>
      <c r="D153" s="4" t="n"/>
    </row>
    <row r="154">
      <c r="A154" s="6">
        <f>IFERROR(VLOOKUP($B154,Company_Cat!$B$2:$E$623,2,FALSE),"")</f>
        <v/>
      </c>
      <c r="B154" s="4" t="n"/>
      <c r="C154" s="4" t="n"/>
      <c r="D154" s="4" t="n"/>
    </row>
    <row r="155">
      <c r="A155" s="6">
        <f>IFERROR(VLOOKUP($B155,Company_Cat!$B$2:$E$623,2,FALSE),"")</f>
        <v/>
      </c>
      <c r="B155" s="4" t="n"/>
      <c r="C155" s="4" t="n"/>
      <c r="D155" s="4" t="n"/>
    </row>
    <row r="156">
      <c r="A156" s="6">
        <f>IFERROR(VLOOKUP($B156,Company_Cat!$B$2:$E$623,2,FALSE),"")</f>
        <v/>
      </c>
      <c r="B156" s="4" t="n"/>
      <c r="C156" s="4" t="n"/>
      <c r="D156" s="4" t="n"/>
    </row>
    <row r="157">
      <c r="A157" s="6">
        <f>IFERROR(VLOOKUP($B157,Company_Cat!$B$2:$E$623,2,FALSE),"")</f>
        <v/>
      </c>
      <c r="B157" s="4" t="n"/>
      <c r="C157" s="4" t="n"/>
      <c r="D157" s="4" t="n"/>
    </row>
    <row r="158">
      <c r="A158" s="6">
        <f>IFERROR(VLOOKUP($B158,Company_Cat!$B$2:$E$623,2,FALSE),"")</f>
        <v/>
      </c>
      <c r="B158" s="4" t="n"/>
      <c r="C158" s="4" t="n"/>
      <c r="D158" s="4" t="n"/>
    </row>
    <row r="159">
      <c r="A159" s="6">
        <f>IFERROR(VLOOKUP($B159,Company_Cat!$B$2:$E$623,2,FALSE),"")</f>
        <v/>
      </c>
      <c r="B159" s="4" t="n"/>
      <c r="C159" s="4" t="n"/>
      <c r="D159" s="4" t="n"/>
    </row>
    <row r="160">
      <c r="A160" s="6">
        <f>IFERROR(VLOOKUP($B160,Company_Cat!$B$2:$E$623,2,FALSE),"")</f>
        <v/>
      </c>
      <c r="B160" s="4" t="n"/>
      <c r="C160" s="4" t="n"/>
      <c r="D160" s="4" t="n"/>
    </row>
    <row r="161">
      <c r="A161" s="6">
        <f>IFERROR(VLOOKUP($B161,Company_Cat!$B$2:$E$623,2,FALSE),"")</f>
        <v/>
      </c>
      <c r="B161" s="4" t="n"/>
      <c r="C161" s="4" t="n"/>
      <c r="D161" s="4" t="n"/>
    </row>
    <row r="162">
      <c r="A162" s="6">
        <f>IFERROR(VLOOKUP($B162,Company_Cat!$B$2:$E$623,2,FALSE),"")</f>
        <v/>
      </c>
      <c r="B162" s="4" t="n"/>
      <c r="C162" s="4" t="n"/>
      <c r="D162" s="4" t="n"/>
    </row>
    <row r="163">
      <c r="A163" s="6">
        <f>IFERROR(VLOOKUP($B163,Company_Cat!$B$2:$E$623,2,FALSE),"")</f>
        <v/>
      </c>
      <c r="B163" s="4" t="n"/>
      <c r="C163" s="4" t="n"/>
      <c r="D163" s="4" t="n"/>
    </row>
    <row r="164">
      <c r="A164" s="6">
        <f>IFERROR(VLOOKUP($B164,Company_Cat!$B$2:$E$623,2,FALSE),"")</f>
        <v/>
      </c>
      <c r="B164" s="4" t="n"/>
      <c r="C164" s="4" t="n"/>
      <c r="D164" s="4" t="n"/>
    </row>
    <row r="165">
      <c r="A165" s="6">
        <f>IFERROR(VLOOKUP($B165,Company_Cat!$B$2:$E$623,2,FALSE),"")</f>
        <v/>
      </c>
      <c r="B165" s="4" t="n"/>
      <c r="C165" s="4" t="n"/>
      <c r="D165" s="4" t="n"/>
    </row>
    <row r="166">
      <c r="A166" s="6">
        <f>IFERROR(VLOOKUP($B166,Company_Cat!$B$2:$E$623,2,FALSE),"")</f>
        <v/>
      </c>
      <c r="B166" s="4" t="n"/>
      <c r="C166" s="4" t="n"/>
      <c r="D166" s="4" t="n"/>
    </row>
    <row r="167">
      <c r="A167" s="6">
        <f>IFERROR(VLOOKUP($B167,Company_Cat!$B$2:$E$623,2,FALSE),"")</f>
        <v/>
      </c>
      <c r="B167" s="4" t="n"/>
      <c r="C167" s="4" t="n"/>
      <c r="D167" s="4" t="n"/>
    </row>
    <row r="168">
      <c r="A168" s="6">
        <f>IFERROR(VLOOKUP($B168,Company_Cat!$B$2:$E$623,2,FALSE),"")</f>
        <v/>
      </c>
      <c r="B168" s="4" t="n"/>
      <c r="C168" s="4" t="n"/>
      <c r="D168" s="4" t="n"/>
    </row>
    <row r="169">
      <c r="A169" s="6">
        <f>IFERROR(VLOOKUP($B169,Company_Cat!$B$2:$E$623,2,FALSE),"")</f>
        <v/>
      </c>
      <c r="B169" s="4" t="n"/>
      <c r="C169" s="4" t="n"/>
      <c r="D169" s="4" t="n"/>
    </row>
    <row r="170">
      <c r="A170" s="6">
        <f>IFERROR(VLOOKUP($B170,Company_Cat!$B$2:$E$623,2,FALSE),"")</f>
        <v/>
      </c>
      <c r="B170" s="4" t="n"/>
      <c r="C170" s="4" t="n"/>
      <c r="D170" s="4" t="n"/>
    </row>
    <row r="171">
      <c r="A171" s="6">
        <f>IFERROR(VLOOKUP($B171,Company_Cat!$B$2:$E$623,2,FALSE),"")</f>
        <v/>
      </c>
      <c r="B171" s="4" t="n"/>
      <c r="C171" s="4" t="n"/>
      <c r="D171" s="4" t="n"/>
    </row>
    <row r="172">
      <c r="A172" s="6">
        <f>IFERROR(VLOOKUP($B172,Company_Cat!$B$2:$E$623,2,FALSE),"")</f>
        <v/>
      </c>
      <c r="B172" s="4" t="n"/>
      <c r="C172" s="4" t="n"/>
      <c r="D172" s="4" t="n"/>
    </row>
    <row r="173">
      <c r="A173" s="6">
        <f>IFERROR(VLOOKUP($B173,Company_Cat!$B$2:$E$623,2,FALSE),"")</f>
        <v/>
      </c>
      <c r="B173" s="4" t="n"/>
      <c r="C173" s="4" t="n"/>
      <c r="D173" s="4" t="n"/>
    </row>
    <row r="174">
      <c r="A174" s="6">
        <f>IFERROR(VLOOKUP($B174,Company_Cat!$B$2:$E$623,2,FALSE),"")</f>
        <v/>
      </c>
      <c r="B174" s="4" t="n"/>
      <c r="C174" s="4" t="n"/>
      <c r="D174" s="4" t="n"/>
    </row>
    <row r="175">
      <c r="A175" s="6">
        <f>IFERROR(VLOOKUP($B175,Company_Cat!$B$2:$E$623,2,FALSE),"")</f>
        <v/>
      </c>
      <c r="B175" s="4" t="n"/>
      <c r="C175" s="4" t="n"/>
      <c r="D175" s="4" t="n"/>
    </row>
    <row r="176">
      <c r="A176" s="6">
        <f>IFERROR(VLOOKUP($B176,Company_Cat!$B$2:$E$623,2,FALSE),"")</f>
        <v/>
      </c>
      <c r="B176" s="4" t="n"/>
      <c r="C176" s="4" t="n"/>
      <c r="D176" s="4" t="n"/>
    </row>
    <row r="177">
      <c r="A177" s="6">
        <f>IFERROR(VLOOKUP($B177,Company_Cat!$B$2:$E$623,2,FALSE),"")</f>
        <v/>
      </c>
      <c r="B177" s="4" t="n"/>
      <c r="C177" s="4" t="n"/>
      <c r="D177" s="4" t="n"/>
    </row>
    <row r="178">
      <c r="A178" s="6">
        <f>IFERROR(VLOOKUP($B178,Company_Cat!$B$2:$E$623,2,FALSE),"")</f>
        <v/>
      </c>
      <c r="B178" s="4" t="n"/>
      <c r="C178" s="4" t="n"/>
      <c r="D178" s="4" t="n"/>
    </row>
    <row r="179">
      <c r="A179" s="6">
        <f>IFERROR(VLOOKUP($B179,Company_Cat!$B$2:$E$623,2,FALSE),"")</f>
        <v/>
      </c>
      <c r="B179" s="4" t="n"/>
      <c r="C179" s="4" t="n"/>
      <c r="D179" s="4" t="n"/>
    </row>
    <row r="180">
      <c r="A180" s="6">
        <f>IFERROR(VLOOKUP($B180,Company_Cat!$B$2:$E$623,2,FALSE),"")</f>
        <v/>
      </c>
      <c r="B180" s="4" t="n"/>
      <c r="C180" s="4" t="n"/>
      <c r="D180" s="4" t="n"/>
    </row>
    <row r="181">
      <c r="A181" s="6">
        <f>IFERROR(VLOOKUP($B181,Company_Cat!$B$2:$E$623,2,FALSE),"")</f>
        <v/>
      </c>
      <c r="B181" s="4" t="n"/>
      <c r="C181" s="4" t="n"/>
      <c r="D181" s="4" t="n"/>
    </row>
    <row r="182">
      <c r="A182" s="6">
        <f>IFERROR(VLOOKUP($B182,Company_Cat!$B$2:$E$623,2,FALSE),"")</f>
        <v/>
      </c>
      <c r="B182" s="4" t="n"/>
      <c r="C182" s="4" t="n"/>
      <c r="D182" s="4" t="n"/>
    </row>
    <row r="183">
      <c r="A183" s="6">
        <f>IFERROR(VLOOKUP($B183,Company_Cat!$B$2:$E$623,2,FALSE),"")</f>
        <v/>
      </c>
      <c r="B183" s="4" t="n"/>
      <c r="C183" s="4" t="n"/>
      <c r="D183" s="4" t="n"/>
    </row>
    <row r="184">
      <c r="A184" s="6">
        <f>IFERROR(VLOOKUP($B184,Company_Cat!$B$2:$E$623,2,FALSE),"")</f>
        <v/>
      </c>
      <c r="B184" s="4" t="n"/>
      <c r="C184" s="4" t="n"/>
      <c r="D184" s="4" t="n"/>
    </row>
    <row r="185">
      <c r="A185" s="6">
        <f>IFERROR(VLOOKUP($B185,Company_Cat!$B$2:$E$623,2,FALSE),"")</f>
        <v/>
      </c>
      <c r="B185" s="4" t="n"/>
      <c r="C185" s="4" t="n"/>
      <c r="D185" s="4" t="n"/>
    </row>
    <row r="186">
      <c r="A186" s="6">
        <f>IFERROR(VLOOKUP($B186,Company_Cat!$B$2:$E$623,2,FALSE),"")</f>
        <v/>
      </c>
      <c r="B186" s="4" t="n"/>
      <c r="C186" s="4" t="n"/>
      <c r="D186" s="4" t="n"/>
    </row>
    <row r="187">
      <c r="A187" s="6">
        <f>IFERROR(VLOOKUP($B187,Company_Cat!$B$2:$E$623,2,FALSE),"")</f>
        <v/>
      </c>
      <c r="B187" s="4" t="n"/>
      <c r="C187" s="4" t="n"/>
      <c r="D187" s="4" t="n"/>
    </row>
    <row r="188">
      <c r="A188" s="6">
        <f>IFERROR(VLOOKUP($B188,Company_Cat!$B$2:$E$623,2,FALSE),"")</f>
        <v/>
      </c>
      <c r="B188" s="4" t="n"/>
      <c r="C188" s="4" t="n"/>
      <c r="D188" s="4" t="n"/>
    </row>
    <row r="189">
      <c r="A189" s="6">
        <f>IFERROR(VLOOKUP($B189,Company_Cat!$B$2:$E$623,2,FALSE),"")</f>
        <v/>
      </c>
      <c r="B189" s="4" t="n"/>
      <c r="C189" s="4" t="n"/>
      <c r="D189" s="4" t="n"/>
    </row>
    <row r="190">
      <c r="A190" s="6">
        <f>IFERROR(VLOOKUP($B190,Company_Cat!$B$2:$E$623,2,FALSE),"")</f>
        <v/>
      </c>
      <c r="B190" s="4" t="n"/>
      <c r="C190" s="4" t="n"/>
      <c r="D190" s="4" t="n"/>
    </row>
    <row r="191">
      <c r="A191" s="6">
        <f>IFERROR(VLOOKUP($B191,Company_Cat!$B$2:$E$623,2,FALSE),"")</f>
        <v/>
      </c>
      <c r="B191" s="4" t="n"/>
      <c r="C191" s="4" t="n"/>
      <c r="D191" s="4" t="n"/>
    </row>
    <row r="192">
      <c r="A192" s="6">
        <f>IFERROR(VLOOKUP($B192,Company_Cat!$B$2:$E$623,2,FALSE),"")</f>
        <v/>
      </c>
      <c r="B192" s="4" t="n"/>
      <c r="C192" s="4" t="n"/>
      <c r="D192" s="4" t="n"/>
    </row>
    <row r="193">
      <c r="A193" s="6">
        <f>IFERROR(VLOOKUP($B193,Company_Cat!$B$2:$E$623,2,FALSE),"")</f>
        <v/>
      </c>
      <c r="B193" s="4" t="n"/>
      <c r="C193" s="4" t="n"/>
      <c r="D193" s="4" t="n"/>
    </row>
    <row r="194">
      <c r="A194" s="6">
        <f>IFERROR(VLOOKUP($B194,Company_Cat!$B$2:$E$623,2,FALSE),"")</f>
        <v/>
      </c>
      <c r="B194" s="4" t="n"/>
      <c r="C194" s="4" t="n"/>
      <c r="D194" s="4" t="n"/>
    </row>
    <row r="195">
      <c r="A195" s="6">
        <f>IFERROR(VLOOKUP($B195,Company_Cat!$B$2:$E$623,2,FALSE),"")</f>
        <v/>
      </c>
      <c r="B195" s="4" t="n"/>
      <c r="C195" s="4" t="n"/>
      <c r="D195" s="4" t="n"/>
    </row>
    <row r="196">
      <c r="A196" s="6">
        <f>IFERROR(VLOOKUP($B196,Company_Cat!$B$2:$E$623,2,FALSE),"")</f>
        <v/>
      </c>
      <c r="B196" s="4" t="n"/>
      <c r="C196" s="4" t="n"/>
      <c r="D196" s="4" t="n"/>
    </row>
    <row r="197">
      <c r="A197" s="6">
        <f>IFERROR(VLOOKUP($B197,Company_Cat!$B$2:$E$623,2,FALSE),"")</f>
        <v/>
      </c>
      <c r="B197" s="4" t="n"/>
      <c r="C197" s="4" t="n"/>
      <c r="D197" s="4" t="n"/>
    </row>
    <row r="198">
      <c r="A198" s="6">
        <f>IFERROR(VLOOKUP($B198,Company_Cat!$B$2:$E$623,2,FALSE),"")</f>
        <v/>
      </c>
      <c r="B198" s="4" t="n"/>
      <c r="C198" s="4" t="n"/>
      <c r="D198" s="4" t="n"/>
    </row>
    <row r="199">
      <c r="A199" s="6">
        <f>IFERROR(VLOOKUP($B199,Company_Cat!$B$2:$E$623,2,FALSE),"")</f>
        <v/>
      </c>
      <c r="B199" s="4" t="n"/>
      <c r="C199" s="4" t="n"/>
      <c r="D199" s="4" t="n"/>
    </row>
    <row r="200">
      <c r="A200" s="6">
        <f>IFERROR(VLOOKUP($B200,Company_Cat!$B$2:$E$623,2,FALSE),"")</f>
        <v/>
      </c>
      <c r="B200" s="4" t="n"/>
      <c r="C200" s="4" t="n"/>
      <c r="D200" s="4" t="n"/>
    </row>
    <row r="201">
      <c r="A201" s="6">
        <f>IFERROR(VLOOKUP($B201,Company_Cat!$B$2:$E$623,2,FALSE),"")</f>
        <v/>
      </c>
      <c r="B201" s="4" t="n"/>
      <c r="C201" s="4" t="n"/>
      <c r="D201" s="4" t="n"/>
    </row>
    <row r="202">
      <c r="A202" s="6">
        <f>IFERROR(VLOOKUP($B202,Company_Cat!$B$2:$E$623,2,FALSE),"")</f>
        <v/>
      </c>
      <c r="B202" s="4" t="n"/>
      <c r="C202" s="4" t="n"/>
      <c r="D202" s="4" t="n"/>
    </row>
    <row r="203">
      <c r="A203" s="6">
        <f>IFERROR(VLOOKUP($B203,Company_Cat!$B$2:$E$623,2,FALSE),"")</f>
        <v/>
      </c>
      <c r="B203" s="4" t="n"/>
      <c r="C203" s="4" t="n"/>
      <c r="D203" s="4" t="n"/>
    </row>
    <row r="204">
      <c r="A204" s="6">
        <f>IFERROR(VLOOKUP($B204,Company_Cat!$B$2:$E$623,2,FALSE),"")</f>
        <v/>
      </c>
      <c r="B204" s="4" t="n"/>
      <c r="C204" s="4" t="n"/>
      <c r="D204" s="4" t="n"/>
    </row>
    <row r="205">
      <c r="A205" s="6">
        <f>IFERROR(VLOOKUP($B205,Company_Cat!$B$2:$E$623,2,FALSE),"")</f>
        <v/>
      </c>
      <c r="B205" s="4" t="n"/>
      <c r="C205" s="4" t="n"/>
      <c r="D205" s="4" t="n"/>
    </row>
    <row r="206">
      <c r="A206" s="6">
        <f>IFERROR(VLOOKUP($B206,Company_Cat!$B$2:$E$623,2,FALSE),"")</f>
        <v/>
      </c>
      <c r="B206" s="4" t="n"/>
      <c r="C206" s="4" t="n"/>
      <c r="D206" s="4" t="n"/>
    </row>
    <row r="207">
      <c r="A207" s="6">
        <f>IFERROR(VLOOKUP($B207,Company_Cat!$B$2:$E$623,2,FALSE),"")</f>
        <v/>
      </c>
      <c r="B207" s="4" t="n"/>
      <c r="C207" s="4" t="n"/>
      <c r="D207" s="4" t="n"/>
    </row>
    <row r="208">
      <c r="A208" s="6">
        <f>IFERROR(VLOOKUP($B208,Company_Cat!$B$2:$E$623,2,FALSE),"")</f>
        <v/>
      </c>
      <c r="B208" s="4" t="n"/>
      <c r="C208" s="4" t="n"/>
      <c r="D208" s="4" t="n"/>
    </row>
    <row r="209">
      <c r="A209" s="6">
        <f>IFERROR(VLOOKUP($B209,Company_Cat!$B$2:$E$623,2,FALSE),"")</f>
        <v/>
      </c>
      <c r="B209" s="4" t="n"/>
      <c r="C209" s="4" t="n"/>
      <c r="D209" s="4" t="n"/>
    </row>
    <row r="210">
      <c r="A210" s="6">
        <f>IFERROR(VLOOKUP($B210,Company_Cat!$B$2:$E$623,2,FALSE),"")</f>
        <v/>
      </c>
      <c r="B210" s="4" t="n"/>
      <c r="C210" s="4" t="n"/>
      <c r="D210" s="4" t="n"/>
    </row>
    <row r="211">
      <c r="A211" s="6">
        <f>IFERROR(VLOOKUP($B211,Company_Cat!$B$2:$E$623,2,FALSE),"")</f>
        <v/>
      </c>
      <c r="B211" s="4" t="n"/>
      <c r="C211" s="4" t="n"/>
      <c r="D211" s="4" t="n"/>
    </row>
    <row r="212">
      <c r="A212" s="6">
        <f>IFERROR(VLOOKUP($B212,Company_Cat!$B$2:$E$623,2,FALSE),"")</f>
        <v/>
      </c>
      <c r="B212" s="4" t="n"/>
      <c r="C212" s="4" t="n"/>
      <c r="D212" s="4" t="n"/>
    </row>
    <row r="213">
      <c r="A213" s="6">
        <f>IFERROR(VLOOKUP($B213,Company_Cat!$B$2:$E$623,2,FALSE),"")</f>
        <v/>
      </c>
      <c r="B213" s="4" t="n"/>
      <c r="C213" s="4" t="n"/>
      <c r="D213" s="4" t="n"/>
    </row>
    <row r="214">
      <c r="A214" s="6">
        <f>IFERROR(VLOOKUP($B214,Company_Cat!$B$2:$E$623,2,FALSE),"")</f>
        <v/>
      </c>
      <c r="B214" s="4" t="n"/>
      <c r="C214" s="4" t="n"/>
      <c r="D214" s="4" t="n"/>
    </row>
    <row r="215">
      <c r="A215" s="6">
        <f>IFERROR(VLOOKUP($B215,Company_Cat!$B$2:$E$623,2,FALSE),"")</f>
        <v/>
      </c>
      <c r="B215" s="4" t="n"/>
      <c r="C215" s="4" t="n"/>
      <c r="D215" s="4" t="n"/>
    </row>
    <row r="216">
      <c r="A216" s="6">
        <f>IFERROR(VLOOKUP($B216,Company_Cat!$B$2:$E$623,2,FALSE),"")</f>
        <v/>
      </c>
      <c r="B216" s="4" t="n"/>
      <c r="C216" s="4" t="n"/>
      <c r="D216" s="4" t="n"/>
    </row>
    <row r="217">
      <c r="A217" s="6">
        <f>IFERROR(VLOOKUP($B217,Company_Cat!$B$2:$E$623,2,FALSE),"")</f>
        <v/>
      </c>
      <c r="B217" s="4" t="n"/>
      <c r="C217" s="4" t="n"/>
      <c r="D217" s="4" t="n"/>
    </row>
    <row r="218">
      <c r="A218" s="6">
        <f>IFERROR(VLOOKUP($B218,Company_Cat!$B$2:$E$623,2,FALSE),"")</f>
        <v/>
      </c>
      <c r="B218" s="4" t="n"/>
      <c r="C218" s="4" t="n"/>
      <c r="D218" s="4" t="n"/>
    </row>
    <row r="219">
      <c r="A219" s="6">
        <f>IFERROR(VLOOKUP($B219,Company_Cat!$B$2:$E$623,2,FALSE),"")</f>
        <v/>
      </c>
      <c r="B219" s="4" t="n"/>
      <c r="C219" s="4" t="n"/>
      <c r="D219" s="4" t="n"/>
    </row>
    <row r="220">
      <c r="A220" s="6">
        <f>IFERROR(VLOOKUP($B220,Company_Cat!$B$2:$E$623,2,FALSE),"")</f>
        <v/>
      </c>
      <c r="B220" s="4" t="n"/>
      <c r="C220" s="4" t="n"/>
      <c r="D220" s="4" t="n"/>
    </row>
    <row r="221">
      <c r="A221" s="6">
        <f>IFERROR(VLOOKUP($B221,Company_Cat!$B$2:$E$623,2,FALSE),"")</f>
        <v/>
      </c>
      <c r="B221" s="4" t="n"/>
      <c r="C221" s="4" t="n"/>
      <c r="D221" s="4" t="n"/>
    </row>
    <row r="222">
      <c r="A222" s="6">
        <f>IFERROR(VLOOKUP($B222,Company_Cat!$B$2:$E$623,2,FALSE),"")</f>
        <v/>
      </c>
      <c r="B222" s="4" t="n"/>
      <c r="C222" s="4" t="n"/>
      <c r="D222" s="4" t="n"/>
    </row>
    <row r="223">
      <c r="A223" s="6">
        <f>IFERROR(VLOOKUP($B223,Company_Cat!$B$2:$E$623,2,FALSE),"")</f>
        <v/>
      </c>
      <c r="B223" s="4" t="n"/>
      <c r="C223" s="4" t="n"/>
      <c r="D223" s="4" t="n"/>
    </row>
    <row r="224">
      <c r="A224" s="6">
        <f>IFERROR(VLOOKUP($B224,Company_Cat!$B$2:$E$623,2,FALSE),"")</f>
        <v/>
      </c>
      <c r="B224" s="4" t="n"/>
      <c r="C224" s="4" t="n"/>
      <c r="D224" s="4" t="n"/>
    </row>
    <row r="225">
      <c r="A225" s="6">
        <f>IFERROR(VLOOKUP($B225,Company_Cat!$B$2:$E$623,2,FALSE),"")</f>
        <v/>
      </c>
      <c r="B225" s="4" t="n"/>
      <c r="C225" s="4" t="n"/>
      <c r="D225" s="4" t="n"/>
    </row>
    <row r="226">
      <c r="A226" s="6">
        <f>IFERROR(VLOOKUP($B226,Company_Cat!$B$2:$E$623,2,FALSE),"")</f>
        <v/>
      </c>
      <c r="B226" s="4" t="n"/>
      <c r="C226" s="4" t="n"/>
      <c r="D226" s="4" t="n"/>
    </row>
    <row r="227">
      <c r="A227" s="6">
        <f>IFERROR(VLOOKUP($B227,Company_Cat!$B$2:$E$623,2,FALSE),"")</f>
        <v/>
      </c>
      <c r="B227" s="4" t="n"/>
      <c r="C227" s="4" t="n"/>
      <c r="D227" s="4" t="n"/>
    </row>
    <row r="228">
      <c r="A228" s="6">
        <f>IFERROR(VLOOKUP($B228,Company_Cat!$B$2:$E$623,2,FALSE),"")</f>
        <v/>
      </c>
      <c r="B228" s="4" t="n"/>
      <c r="C228" s="4" t="n"/>
      <c r="D228" s="4" t="n"/>
    </row>
    <row r="229">
      <c r="A229" s="6">
        <f>IFERROR(VLOOKUP($B229,Company_Cat!$B$2:$E$623,2,FALSE),"")</f>
        <v/>
      </c>
      <c r="B229" s="4" t="n"/>
      <c r="C229" s="4" t="n"/>
      <c r="D229" s="4" t="n"/>
    </row>
    <row r="230">
      <c r="A230" s="6">
        <f>IFERROR(VLOOKUP($B230,Company_Cat!$B$2:$E$623,2,FALSE),"")</f>
        <v/>
      </c>
      <c r="B230" s="4" t="n"/>
      <c r="C230" s="4" t="n"/>
      <c r="D230" s="4" t="n"/>
    </row>
    <row r="231">
      <c r="A231" s="6">
        <f>IFERROR(VLOOKUP($B231,Company_Cat!$B$2:$E$623,2,FALSE),"")</f>
        <v/>
      </c>
      <c r="B231" s="4" t="n"/>
      <c r="C231" s="4" t="n"/>
      <c r="D231" s="4" t="n"/>
    </row>
    <row r="232">
      <c r="A232" s="6">
        <f>IFERROR(VLOOKUP($B232,Company_Cat!$B$2:$E$623,2,FALSE),"")</f>
        <v/>
      </c>
      <c r="B232" s="4" t="n"/>
      <c r="C232" s="4" t="n"/>
      <c r="D232" s="4" t="n"/>
    </row>
    <row r="233">
      <c r="A233" s="6">
        <f>IFERROR(VLOOKUP($B233,Company_Cat!$B$2:$E$623,2,FALSE),"")</f>
        <v/>
      </c>
      <c r="B233" s="4" t="n"/>
      <c r="C233" s="4" t="n"/>
      <c r="D233" s="4" t="n"/>
    </row>
    <row r="234">
      <c r="A234" s="6">
        <f>IFERROR(VLOOKUP($B234,Company_Cat!$B$2:$E$623,2,FALSE),"")</f>
        <v/>
      </c>
      <c r="B234" s="4" t="n"/>
      <c r="C234" s="4" t="n"/>
      <c r="D234" s="4" t="n"/>
    </row>
    <row r="235">
      <c r="A235" s="6">
        <f>IFERROR(VLOOKUP($B235,Company_Cat!$B$2:$E$623,2,FALSE),"")</f>
        <v/>
      </c>
      <c r="B235" s="4" t="n"/>
      <c r="C235" s="4" t="n"/>
      <c r="D235" s="4" t="n"/>
    </row>
    <row r="236">
      <c r="A236" s="6">
        <f>IFERROR(VLOOKUP($B236,Company_Cat!$B$2:$E$623,2,FALSE),"")</f>
        <v/>
      </c>
      <c r="B236" s="4" t="n"/>
      <c r="C236" s="4" t="n"/>
      <c r="D236" s="4" t="n"/>
    </row>
    <row r="237">
      <c r="A237" s="6">
        <f>IFERROR(VLOOKUP($B237,Company_Cat!$B$2:$E$623,2,FALSE),"")</f>
        <v/>
      </c>
      <c r="B237" s="4" t="n"/>
      <c r="C237" s="4" t="n"/>
      <c r="D237" s="4" t="n"/>
    </row>
    <row r="238">
      <c r="A238" s="6">
        <f>IFERROR(VLOOKUP($B238,Company_Cat!$B$2:$E$623,2,FALSE),"")</f>
        <v/>
      </c>
      <c r="B238" s="4" t="n"/>
      <c r="C238" s="4" t="n"/>
      <c r="D238" s="4" t="n"/>
    </row>
    <row r="239">
      <c r="A239" s="6">
        <f>IFERROR(VLOOKUP($B239,Company_Cat!$B$2:$E$623,2,FALSE),"")</f>
        <v/>
      </c>
      <c r="B239" s="4" t="n"/>
      <c r="C239" s="4" t="n"/>
      <c r="D239" s="4" t="n"/>
    </row>
    <row r="240">
      <c r="A240" s="6">
        <f>IFERROR(VLOOKUP($B240,Company_Cat!$B$2:$E$623,2,FALSE),"")</f>
        <v/>
      </c>
      <c r="B240" s="4" t="n"/>
      <c r="C240" s="4" t="n"/>
      <c r="D240" s="4" t="n"/>
    </row>
    <row r="241">
      <c r="A241" s="6">
        <f>IFERROR(VLOOKUP($B241,Company_Cat!$B$2:$E$623,2,FALSE),"")</f>
        <v/>
      </c>
      <c r="B241" s="4" t="n"/>
      <c r="C241" s="4" t="n"/>
      <c r="D241" s="4" t="n"/>
    </row>
    <row r="242">
      <c r="A242" s="6">
        <f>IFERROR(VLOOKUP($B242,Company_Cat!$B$2:$E$623,2,FALSE),"")</f>
        <v/>
      </c>
      <c r="B242" s="4" t="n"/>
      <c r="C242" s="4" t="n"/>
      <c r="D242" s="4" t="n"/>
    </row>
    <row r="243">
      <c r="A243" s="6">
        <f>IFERROR(VLOOKUP($B243,Company_Cat!$B$2:$E$623,2,FALSE),"")</f>
        <v/>
      </c>
      <c r="B243" s="4" t="n"/>
      <c r="C243" s="4" t="n"/>
      <c r="D243" s="4" t="n"/>
    </row>
    <row r="244">
      <c r="A244" s="6">
        <f>IFERROR(VLOOKUP($B244,Company_Cat!$B$2:$E$623,2,FALSE),"")</f>
        <v/>
      </c>
      <c r="B244" s="4" t="n"/>
      <c r="C244" s="4" t="n"/>
      <c r="D244" s="4" t="n"/>
    </row>
    <row r="245">
      <c r="A245" s="6">
        <f>IFERROR(VLOOKUP($B245,Company_Cat!$B$2:$E$623,2,FALSE),"")</f>
        <v/>
      </c>
      <c r="B245" s="4" t="n"/>
      <c r="C245" s="4" t="n"/>
      <c r="D245" s="4" t="n"/>
    </row>
    <row r="246">
      <c r="A246" s="6">
        <f>IFERROR(VLOOKUP($B246,Company_Cat!$B$2:$E$623,2,FALSE),"")</f>
        <v/>
      </c>
      <c r="B246" s="4" t="n"/>
      <c r="C246" s="4" t="n"/>
      <c r="D246" s="4" t="n"/>
    </row>
    <row r="247">
      <c r="A247" s="6">
        <f>IFERROR(VLOOKUP($B247,Company_Cat!$B$2:$E$623,2,FALSE),"")</f>
        <v/>
      </c>
      <c r="B247" s="4" t="n"/>
      <c r="C247" s="4" t="n"/>
      <c r="D247" s="4" t="n"/>
    </row>
    <row r="248">
      <c r="A248" s="6">
        <f>IFERROR(VLOOKUP($B248,Company_Cat!$B$2:$E$623,2,FALSE),"")</f>
        <v/>
      </c>
      <c r="B248" s="4" t="n"/>
      <c r="C248" s="4" t="n"/>
      <c r="D248" s="4" t="n"/>
    </row>
    <row r="249">
      <c r="A249" s="6">
        <f>IFERROR(VLOOKUP($B249,Company_Cat!$B$2:$E$623,2,FALSE),"")</f>
        <v/>
      </c>
      <c r="B249" s="4" t="n"/>
      <c r="C249" s="4" t="n"/>
      <c r="D249" s="4" t="n"/>
    </row>
    <row r="250">
      <c r="A250" s="6">
        <f>IFERROR(VLOOKUP($B250,Company_Cat!$B$2:$E$623,2,FALSE),"")</f>
        <v/>
      </c>
      <c r="B250" s="4" t="n"/>
      <c r="C250" s="4" t="n"/>
      <c r="D250" s="4" t="n"/>
    </row>
    <row r="251">
      <c r="A251" s="6">
        <f>IFERROR(VLOOKUP($B251,Company_Cat!$B$2:$E$623,2,FALSE),"")</f>
        <v/>
      </c>
      <c r="B251" s="4" t="n"/>
      <c r="C251" s="4" t="n"/>
      <c r="D251" s="4" t="n"/>
    </row>
    <row r="252">
      <c r="A252" s="6">
        <f>IFERROR(VLOOKUP($B252,Company_Cat!$B$2:$E$623,2,FALSE),"")</f>
        <v/>
      </c>
      <c r="B252" s="4" t="n"/>
      <c r="C252" s="4" t="n"/>
      <c r="D252" s="4" t="n"/>
    </row>
    <row r="253">
      <c r="A253" s="6">
        <f>IFERROR(VLOOKUP($B253,Company_Cat!$B$2:$E$623,2,FALSE),"")</f>
        <v/>
      </c>
      <c r="B253" s="4" t="n"/>
      <c r="C253" s="4" t="n"/>
      <c r="D253" s="4" t="n"/>
    </row>
    <row r="254">
      <c r="A254" s="6">
        <f>IFERROR(VLOOKUP($B254,Company_Cat!$B$2:$E$623,2,FALSE),"")</f>
        <v/>
      </c>
      <c r="B254" s="4" t="n"/>
      <c r="C254" s="4" t="n"/>
      <c r="D254" s="4" t="n"/>
    </row>
    <row r="255">
      <c r="A255" s="6">
        <f>IFERROR(VLOOKUP($B255,Company_Cat!$B$2:$E$623,2,FALSE),"")</f>
        <v/>
      </c>
      <c r="B255" s="4" t="n"/>
      <c r="C255" s="4" t="n"/>
      <c r="D255" s="4" t="n"/>
    </row>
    <row r="256">
      <c r="A256" s="6">
        <f>IFERROR(VLOOKUP($B256,Company_Cat!$B$2:$E$623,2,FALSE),"")</f>
        <v/>
      </c>
      <c r="B256" s="4" t="n"/>
      <c r="C256" s="4" t="n"/>
      <c r="D256" s="4" t="n"/>
    </row>
    <row r="257">
      <c r="A257" s="6">
        <f>IFERROR(VLOOKUP($B257,Company_Cat!$B$2:$E$623,2,FALSE),"")</f>
        <v/>
      </c>
      <c r="B257" s="4" t="n"/>
      <c r="C257" s="4" t="n"/>
      <c r="D257" s="4" t="n"/>
    </row>
    <row r="258">
      <c r="A258" s="6">
        <f>IFERROR(VLOOKUP($B258,Company_Cat!$B$2:$E$623,2,FALSE),"")</f>
        <v/>
      </c>
      <c r="B258" s="4" t="n"/>
      <c r="C258" s="4" t="n"/>
      <c r="D258" s="4" t="n"/>
    </row>
    <row r="259">
      <c r="A259" s="6">
        <f>IFERROR(VLOOKUP($B259,Company_Cat!$B$2:$E$623,2,FALSE),"")</f>
        <v/>
      </c>
      <c r="B259" s="4" t="n"/>
      <c r="C259" s="4" t="n"/>
      <c r="D259" s="4" t="n"/>
    </row>
    <row r="260">
      <c r="A260" s="6">
        <f>IFERROR(VLOOKUP($B260,Company_Cat!$B$2:$E$623,2,FALSE),"")</f>
        <v/>
      </c>
      <c r="B260" s="4" t="n"/>
      <c r="C260" s="4" t="n"/>
      <c r="D260" s="4" t="n"/>
    </row>
    <row r="261">
      <c r="A261" s="6">
        <f>IFERROR(VLOOKUP($B261,Company_Cat!$B$2:$E$623,2,FALSE),"")</f>
        <v/>
      </c>
      <c r="B261" s="4" t="n"/>
      <c r="C261" s="4" t="n"/>
      <c r="D261" s="4" t="n"/>
    </row>
    <row r="262">
      <c r="A262" s="6">
        <f>IFERROR(VLOOKUP($B262,Company_Cat!$B$2:$E$623,2,FALSE),"")</f>
        <v/>
      </c>
      <c r="B262" s="4" t="n"/>
      <c r="C262" s="4" t="n"/>
      <c r="D262" s="4" t="n"/>
    </row>
    <row r="263">
      <c r="A263" s="6">
        <f>IFERROR(VLOOKUP($B263,Company_Cat!$B$2:$E$623,2,FALSE),"")</f>
        <v/>
      </c>
      <c r="B263" s="4" t="n"/>
      <c r="C263" s="4" t="n"/>
      <c r="D263" s="4" t="n"/>
    </row>
    <row r="264">
      <c r="A264" s="6">
        <f>IFERROR(VLOOKUP($B264,Company_Cat!$B$2:$E$623,2,FALSE),"")</f>
        <v/>
      </c>
      <c r="B264" s="4" t="n"/>
      <c r="C264" s="4" t="n"/>
      <c r="D264" s="4" t="n"/>
    </row>
    <row r="265">
      <c r="A265" s="6">
        <f>IFERROR(VLOOKUP($B265,Company_Cat!$B$2:$E$623,2,FALSE),"")</f>
        <v/>
      </c>
      <c r="B265" s="4" t="n"/>
      <c r="C265" s="4" t="n"/>
      <c r="D265" s="4" t="n"/>
    </row>
    <row r="266">
      <c r="A266" s="6">
        <f>IFERROR(VLOOKUP($B266,Company_Cat!$B$2:$E$623,2,FALSE),"")</f>
        <v/>
      </c>
      <c r="B266" s="4" t="n"/>
      <c r="C266" s="4" t="n"/>
      <c r="D266" s="4" t="n"/>
    </row>
    <row r="267">
      <c r="A267" s="6">
        <f>IFERROR(VLOOKUP($B267,Company_Cat!$B$2:$E$623,2,FALSE),"")</f>
        <v/>
      </c>
      <c r="B267" s="4" t="n"/>
      <c r="C267" s="4" t="n"/>
      <c r="D267" s="4" t="n"/>
    </row>
    <row r="268">
      <c r="A268" s="6">
        <f>IFERROR(VLOOKUP($B268,Company_Cat!$B$2:$E$623,2,FALSE),"")</f>
        <v/>
      </c>
      <c r="B268" s="4" t="n"/>
      <c r="C268" s="4" t="n"/>
      <c r="D268" s="4" t="n"/>
    </row>
    <row r="269">
      <c r="A269" s="6">
        <f>IFERROR(VLOOKUP($B269,Company_Cat!$B$2:$E$623,2,FALSE),"")</f>
        <v/>
      </c>
      <c r="B269" s="4" t="n"/>
      <c r="C269" s="4" t="n"/>
      <c r="D269" s="4" t="n"/>
    </row>
    <row r="270">
      <c r="A270" s="6">
        <f>IFERROR(VLOOKUP($B270,Company_Cat!$B$2:$E$623,2,FALSE),"")</f>
        <v/>
      </c>
      <c r="B270" s="4" t="n"/>
      <c r="C270" s="4" t="n"/>
      <c r="D270" s="4" t="n"/>
    </row>
    <row r="271">
      <c r="A271" s="6">
        <f>IFERROR(VLOOKUP($B271,Company_Cat!$B$2:$E$623,2,FALSE),"")</f>
        <v/>
      </c>
      <c r="B271" s="4" t="n"/>
      <c r="C271" s="4" t="n"/>
      <c r="D271" s="4" t="n"/>
    </row>
    <row r="272">
      <c r="A272" s="6">
        <f>IFERROR(VLOOKUP($B272,Company_Cat!$B$2:$E$623,2,FALSE),"")</f>
        <v/>
      </c>
      <c r="B272" s="4" t="n"/>
      <c r="C272" s="4" t="n"/>
      <c r="D272" s="4" t="n"/>
    </row>
    <row r="273">
      <c r="A273" s="6">
        <f>IFERROR(VLOOKUP($B273,Company_Cat!$B$2:$E$623,2,FALSE),"")</f>
        <v/>
      </c>
      <c r="B273" s="4" t="n"/>
      <c r="C273" s="4" t="n"/>
      <c r="D273" s="4" t="n"/>
    </row>
    <row r="274">
      <c r="A274" s="6">
        <f>IFERROR(VLOOKUP($B274,Company_Cat!$B$2:$E$623,2,FALSE),"")</f>
        <v/>
      </c>
      <c r="B274" s="4" t="n"/>
      <c r="C274" s="4" t="n"/>
      <c r="D274" s="4" t="n"/>
    </row>
    <row r="275">
      <c r="A275" s="6">
        <f>IFERROR(VLOOKUP($B275,Company_Cat!$B$2:$E$623,2,FALSE),"")</f>
        <v/>
      </c>
      <c r="B275" s="4" t="n"/>
      <c r="C275" s="4" t="n"/>
      <c r="D275" s="4" t="n"/>
    </row>
    <row r="276">
      <c r="A276" s="6">
        <f>IFERROR(VLOOKUP($B276,Company_Cat!$B$2:$E$623,2,FALSE),"")</f>
        <v/>
      </c>
      <c r="B276" s="4" t="n"/>
      <c r="C276" s="4" t="n"/>
      <c r="D276" s="4" t="n"/>
    </row>
    <row r="277">
      <c r="A277" s="6">
        <f>IFERROR(VLOOKUP($B277,Company_Cat!$B$2:$E$623,2,FALSE),"")</f>
        <v/>
      </c>
      <c r="B277" s="4" t="n"/>
      <c r="C277" s="4" t="n"/>
      <c r="D277" s="4" t="n"/>
    </row>
    <row r="278">
      <c r="A278" s="6">
        <f>IFERROR(VLOOKUP($B278,Company_Cat!$B$2:$E$623,2,FALSE),"")</f>
        <v/>
      </c>
      <c r="B278" s="4" t="n"/>
      <c r="C278" s="4" t="n"/>
      <c r="D278" s="4" t="n"/>
    </row>
    <row r="279">
      <c r="A279" s="6">
        <f>IFERROR(VLOOKUP($B279,Company_Cat!$B$2:$E$623,2,FALSE),"")</f>
        <v/>
      </c>
      <c r="B279" s="4" t="n"/>
      <c r="C279" s="4" t="n"/>
      <c r="D279" s="4" t="n"/>
    </row>
    <row r="280">
      <c r="A280" s="6">
        <f>IFERROR(VLOOKUP($B280,Company_Cat!$B$2:$E$623,2,FALSE),"")</f>
        <v/>
      </c>
      <c r="B280" s="4" t="n"/>
      <c r="C280" s="4" t="n"/>
      <c r="D280" s="4" t="n"/>
    </row>
    <row r="281">
      <c r="A281" s="6">
        <f>IFERROR(VLOOKUP($B281,Company_Cat!$B$2:$E$623,2,FALSE),"")</f>
        <v/>
      </c>
      <c r="B281" s="4" t="n"/>
      <c r="C281" s="4" t="n"/>
      <c r="D281" s="4" t="n"/>
    </row>
    <row r="282">
      <c r="A282" s="6">
        <f>IFERROR(VLOOKUP($B282,Company_Cat!$B$2:$E$623,2,FALSE),"")</f>
        <v/>
      </c>
      <c r="B282" s="4" t="n"/>
      <c r="C282" s="4" t="n"/>
      <c r="D282" s="4" t="n"/>
    </row>
    <row r="283">
      <c r="A283" s="6">
        <f>IFERROR(VLOOKUP($B283,Company_Cat!$B$2:$E$623,2,FALSE),"")</f>
        <v/>
      </c>
      <c r="B283" s="4" t="n"/>
      <c r="C283" s="4" t="n"/>
      <c r="D283" s="4" t="n"/>
    </row>
    <row r="284">
      <c r="A284" s="6">
        <f>IFERROR(VLOOKUP($B284,Company_Cat!$B$2:$E$623,2,FALSE),"")</f>
        <v/>
      </c>
      <c r="B284" s="4" t="n"/>
      <c r="C284" s="4" t="n"/>
      <c r="D284" s="4" t="n"/>
    </row>
    <row r="285">
      <c r="A285" s="6">
        <f>IFERROR(VLOOKUP($B285,Company_Cat!$B$2:$E$623,2,FALSE),"")</f>
        <v/>
      </c>
      <c r="B285" s="4" t="n"/>
      <c r="C285" s="4" t="n"/>
      <c r="D285" s="4" t="n"/>
    </row>
    <row r="286">
      <c r="A286" s="6">
        <f>IFERROR(VLOOKUP($B286,Company_Cat!$B$2:$E$623,2,FALSE),"")</f>
        <v/>
      </c>
      <c r="B286" s="4" t="n"/>
      <c r="C286" s="4" t="n"/>
      <c r="D286" s="4" t="n"/>
    </row>
    <row r="287">
      <c r="A287" s="6">
        <f>IFERROR(VLOOKUP($B287,Company_Cat!$B$2:$E$623,2,FALSE),"")</f>
        <v/>
      </c>
      <c r="B287" s="4" t="n"/>
      <c r="C287" s="4" t="n"/>
      <c r="D287" s="4" t="n"/>
    </row>
    <row r="288">
      <c r="A288" s="6">
        <f>IFERROR(VLOOKUP($B288,Company_Cat!$B$2:$E$623,2,FALSE),"")</f>
        <v/>
      </c>
      <c r="B288" s="4" t="n"/>
      <c r="C288" s="4" t="n"/>
      <c r="D288" s="4" t="n"/>
    </row>
    <row r="289">
      <c r="A289" s="6">
        <f>IFERROR(VLOOKUP($B289,Company_Cat!$B$2:$E$623,2,FALSE),"")</f>
        <v/>
      </c>
      <c r="B289" s="4" t="n"/>
      <c r="C289" s="4" t="n"/>
      <c r="D289" s="4" t="n"/>
    </row>
    <row r="290">
      <c r="A290" s="6">
        <f>IFERROR(VLOOKUP($B290,Company_Cat!$B$2:$E$623,2,FALSE),"")</f>
        <v/>
      </c>
      <c r="B290" s="4" t="n"/>
      <c r="C290" s="4" t="n"/>
      <c r="D290" s="4" t="n"/>
    </row>
    <row r="291">
      <c r="A291" s="6">
        <f>IFERROR(VLOOKUP($B291,Company_Cat!$B$2:$E$623,2,FALSE),"")</f>
        <v/>
      </c>
      <c r="B291" s="4" t="n"/>
      <c r="C291" s="4" t="n"/>
      <c r="D291" s="4" t="n"/>
    </row>
    <row r="292">
      <c r="A292" s="6">
        <f>IFERROR(VLOOKUP($B292,Company_Cat!$B$2:$E$623,2,FALSE),"")</f>
        <v/>
      </c>
      <c r="B292" s="4" t="n"/>
      <c r="C292" s="4" t="n"/>
      <c r="D292" s="4" t="n"/>
    </row>
    <row r="293">
      <c r="A293" s="6">
        <f>IFERROR(VLOOKUP($B293,Company_Cat!$B$2:$E$623,2,FALSE),"")</f>
        <v/>
      </c>
      <c r="B293" s="4" t="n"/>
      <c r="C293" s="4" t="n"/>
      <c r="D293" s="4" t="n"/>
    </row>
    <row r="294">
      <c r="A294" s="6">
        <f>IFERROR(VLOOKUP($B294,Company_Cat!$B$2:$E$623,2,FALSE),"")</f>
        <v/>
      </c>
      <c r="B294" s="4" t="n"/>
      <c r="C294" s="4" t="n"/>
      <c r="D294" s="4" t="n"/>
    </row>
    <row r="295">
      <c r="A295" s="6">
        <f>IFERROR(VLOOKUP($B295,Company_Cat!$B$2:$E$623,2,FALSE),"")</f>
        <v/>
      </c>
      <c r="B295" s="4" t="n"/>
      <c r="C295" s="4" t="n"/>
      <c r="D295" s="4" t="n"/>
    </row>
    <row r="296">
      <c r="A296" s="6">
        <f>IFERROR(VLOOKUP($B296,Company_Cat!$B$2:$E$623,2,FALSE),"")</f>
        <v/>
      </c>
      <c r="B296" s="4" t="n"/>
      <c r="C296" s="4" t="n"/>
      <c r="D296" s="4" t="n"/>
    </row>
    <row r="297">
      <c r="A297" s="6">
        <f>IFERROR(VLOOKUP($B297,Company_Cat!$B$2:$E$623,2,FALSE),"")</f>
        <v/>
      </c>
      <c r="B297" s="4" t="n"/>
      <c r="C297" s="4" t="n"/>
      <c r="D297" s="4" t="n"/>
    </row>
    <row r="298">
      <c r="A298" s="6">
        <f>IFERROR(VLOOKUP($B298,Company_Cat!$B$2:$E$623,2,FALSE),"")</f>
        <v/>
      </c>
      <c r="B298" s="4" t="n"/>
      <c r="C298" s="4" t="n"/>
      <c r="D298" s="4" t="n"/>
    </row>
    <row r="299">
      <c r="A299" s="6">
        <f>IFERROR(VLOOKUP($B299,Company_Cat!$B$2:$E$623,2,FALSE),"")</f>
        <v/>
      </c>
      <c r="B299" s="4" t="n"/>
      <c r="C299" s="4" t="n"/>
      <c r="D299" s="4" t="n"/>
    </row>
    <row r="300">
      <c r="A300" s="6">
        <f>IFERROR(VLOOKUP($B300,Company_Cat!$B$2:$E$623,2,FALSE),"")</f>
        <v/>
      </c>
      <c r="B300" s="4" t="n"/>
      <c r="C300" s="4" t="n"/>
      <c r="D300" s="4" t="n"/>
    </row>
    <row r="301">
      <c r="A301" s="6">
        <f>IFERROR(VLOOKUP($B301,Company_Cat!$B$2:$E$623,2,FALSE),"")</f>
        <v/>
      </c>
      <c r="B301" s="4" t="n"/>
      <c r="C301" s="4" t="n"/>
      <c r="D301" s="4" t="n"/>
    </row>
    <row r="302">
      <c r="A302" s="6">
        <f>IFERROR(VLOOKUP($B302,Company_Cat!$B$2:$E$623,2,FALSE),"")</f>
        <v/>
      </c>
      <c r="B302" s="4" t="n"/>
      <c r="C302" s="4" t="n"/>
      <c r="D302" s="4" t="n"/>
    </row>
    <row r="303">
      <c r="A303" s="6">
        <f>IFERROR(VLOOKUP($B303,Company_Cat!$B$2:$E$623,2,FALSE),"")</f>
        <v/>
      </c>
      <c r="B303" s="4" t="n"/>
      <c r="C303" s="4" t="n"/>
      <c r="D303" s="4" t="n"/>
    </row>
    <row r="304">
      <c r="A304" s="6">
        <f>IFERROR(VLOOKUP($B304,Company_Cat!$B$2:$E$623,2,FALSE),"")</f>
        <v/>
      </c>
      <c r="B304" s="4" t="n"/>
      <c r="C304" s="4" t="n"/>
      <c r="D304" s="4" t="n"/>
    </row>
    <row r="305">
      <c r="A305" s="6">
        <f>IFERROR(VLOOKUP($B305,Company_Cat!$B$2:$E$623,2,FALSE),"")</f>
        <v/>
      </c>
      <c r="B305" s="4" t="n"/>
      <c r="C305" s="4" t="n"/>
      <c r="D305" s="4" t="n"/>
    </row>
    <row r="306">
      <c r="A306" s="6">
        <f>IFERROR(VLOOKUP($B306,Company_Cat!$B$2:$E$623,2,FALSE),"")</f>
        <v/>
      </c>
      <c r="B306" s="4" t="n"/>
      <c r="C306" s="4" t="n"/>
      <c r="D306" s="4" t="n"/>
    </row>
    <row r="307">
      <c r="A307" s="6">
        <f>IFERROR(VLOOKUP($B307,Company_Cat!$B$2:$E$623,2,FALSE),"")</f>
        <v/>
      </c>
      <c r="B307" s="4" t="n"/>
      <c r="C307" s="4" t="n"/>
      <c r="D307" s="4" t="n"/>
    </row>
    <row r="308">
      <c r="A308" s="6">
        <f>IFERROR(VLOOKUP($B308,Company_Cat!$B$2:$E$623,2,FALSE),"")</f>
        <v/>
      </c>
      <c r="B308" s="4" t="n"/>
      <c r="C308" s="4" t="n"/>
      <c r="D308" s="4" t="n"/>
    </row>
    <row r="309">
      <c r="A309" s="6">
        <f>IFERROR(VLOOKUP($B309,Company_Cat!$B$2:$E$623,2,FALSE),"")</f>
        <v/>
      </c>
      <c r="B309" s="4" t="n"/>
      <c r="C309" s="4" t="n"/>
      <c r="D309" s="4" t="n"/>
    </row>
    <row r="310">
      <c r="A310" s="6">
        <f>IFERROR(VLOOKUP($B310,Company_Cat!$B$2:$E$623,2,FALSE),"")</f>
        <v/>
      </c>
      <c r="B310" s="4" t="n"/>
      <c r="C310" s="4" t="n"/>
      <c r="D310" s="4" t="n"/>
    </row>
    <row r="311">
      <c r="A311" s="6">
        <f>IFERROR(VLOOKUP($B311,Company_Cat!$B$2:$E$623,2,FALSE),"")</f>
        <v/>
      </c>
      <c r="B311" s="4" t="n"/>
      <c r="C311" s="4" t="n"/>
      <c r="D311" s="4" t="n"/>
    </row>
    <row r="312">
      <c r="A312" s="6">
        <f>IFERROR(VLOOKUP($B312,Company_Cat!$B$2:$E$623,2,FALSE),"")</f>
        <v/>
      </c>
      <c r="B312" s="4" t="n"/>
      <c r="C312" s="4" t="n"/>
      <c r="D312" s="4" t="n"/>
    </row>
    <row r="313">
      <c r="A313" s="6">
        <f>IFERROR(VLOOKUP($B313,Company_Cat!$B$2:$E$623,2,FALSE),"")</f>
        <v/>
      </c>
      <c r="B313" s="4" t="n"/>
      <c r="C313" s="4" t="n"/>
      <c r="D313" s="4" t="n"/>
    </row>
    <row r="314">
      <c r="A314" s="6">
        <f>IFERROR(VLOOKUP($B314,Company_Cat!$B$2:$E$623,2,FALSE),"")</f>
        <v/>
      </c>
      <c r="B314" s="4" t="n"/>
      <c r="C314" s="4" t="n"/>
      <c r="D314" s="4" t="n"/>
    </row>
    <row r="315">
      <c r="A315" s="6">
        <f>IFERROR(VLOOKUP($B315,Company_Cat!$B$2:$E$623,2,FALSE),"")</f>
        <v/>
      </c>
      <c r="B315" s="4" t="n"/>
      <c r="C315" s="4" t="n"/>
      <c r="D315" s="4" t="n"/>
    </row>
    <row r="316">
      <c r="A316" s="6">
        <f>IFERROR(VLOOKUP($B316,Company_Cat!$B$2:$E$623,2,FALSE),"")</f>
        <v/>
      </c>
      <c r="B316" s="4" t="n"/>
      <c r="C316" s="4" t="n"/>
      <c r="D316" s="4" t="n"/>
    </row>
    <row r="317">
      <c r="A317" s="6">
        <f>IFERROR(VLOOKUP($B317,Company_Cat!$B$2:$E$623,2,FALSE),"")</f>
        <v/>
      </c>
      <c r="B317" s="4" t="n"/>
      <c r="C317" s="4" t="n"/>
      <c r="D317" s="4" t="n"/>
    </row>
    <row r="318">
      <c r="A318" s="6">
        <f>IFERROR(VLOOKUP($B318,Company_Cat!$B$2:$E$623,2,FALSE),"")</f>
        <v/>
      </c>
      <c r="B318" s="4" t="n"/>
      <c r="C318" s="4" t="n"/>
      <c r="D318" s="4" t="n"/>
    </row>
    <row r="319">
      <c r="A319" s="6">
        <f>IFERROR(VLOOKUP($B319,Company_Cat!$B$2:$E$623,2,FALSE),"")</f>
        <v/>
      </c>
      <c r="B319" s="4" t="n"/>
      <c r="C319" s="4" t="n"/>
      <c r="D319" s="4" t="n"/>
    </row>
    <row r="320">
      <c r="A320" s="6">
        <f>IFERROR(VLOOKUP($B320,Company_Cat!$B$2:$E$623,2,FALSE),"")</f>
        <v/>
      </c>
      <c r="B320" s="4" t="n"/>
      <c r="C320" s="4" t="n"/>
      <c r="D320" s="4" t="n"/>
    </row>
    <row r="321">
      <c r="A321" s="6">
        <f>IFERROR(VLOOKUP($B321,Company_Cat!$B$2:$E$623,2,FALSE),"")</f>
        <v/>
      </c>
      <c r="B321" s="4" t="n"/>
      <c r="C321" s="4" t="n"/>
      <c r="D321" s="4" t="n"/>
    </row>
    <row r="322">
      <c r="A322" s="6">
        <f>IFERROR(VLOOKUP($B322,Company_Cat!$B$2:$E$623,2,FALSE),"")</f>
        <v/>
      </c>
      <c r="B322" s="4" t="n"/>
      <c r="C322" s="4" t="n"/>
      <c r="D322" s="4" t="n"/>
    </row>
    <row r="323">
      <c r="A323" s="6">
        <f>IFERROR(VLOOKUP($B323,Company_Cat!$B$2:$E$623,2,FALSE),"")</f>
        <v/>
      </c>
      <c r="B323" s="4" t="n"/>
      <c r="C323" s="4" t="n"/>
      <c r="D323" s="4" t="n"/>
    </row>
    <row r="324">
      <c r="A324" s="6">
        <f>IFERROR(VLOOKUP($B324,Company_Cat!$B$2:$E$623,2,FALSE),"")</f>
        <v/>
      </c>
      <c r="B324" s="4" t="n"/>
      <c r="C324" s="4" t="n"/>
      <c r="D324" s="4" t="n"/>
    </row>
    <row r="325">
      <c r="A325" s="6">
        <f>IFERROR(VLOOKUP($B325,Company_Cat!$B$2:$E$623,2,FALSE),"")</f>
        <v/>
      </c>
      <c r="B325" s="4" t="n"/>
      <c r="C325" s="4" t="n"/>
      <c r="D325" s="4" t="n"/>
    </row>
    <row r="326">
      <c r="A326" s="6">
        <f>IFERROR(VLOOKUP($B326,Company_Cat!$B$2:$E$623,2,FALSE),"")</f>
        <v/>
      </c>
      <c r="B326" s="4" t="n"/>
      <c r="C326" s="4" t="n"/>
      <c r="D326" s="4" t="n"/>
    </row>
    <row r="327">
      <c r="A327" s="6">
        <f>IFERROR(VLOOKUP($B327,Company_Cat!$B$2:$E$623,2,FALSE),"")</f>
        <v/>
      </c>
      <c r="B327" s="4" t="n"/>
      <c r="C327" s="4" t="n"/>
      <c r="D327" s="4" t="n"/>
    </row>
    <row r="328">
      <c r="A328" s="6">
        <f>IFERROR(VLOOKUP($B328,Company_Cat!$B$2:$E$623,2,FALSE),"")</f>
        <v/>
      </c>
      <c r="B328" s="4" t="n"/>
      <c r="C328" s="4" t="n"/>
      <c r="D328" s="4" t="n"/>
    </row>
    <row r="329">
      <c r="A329" s="6">
        <f>IFERROR(VLOOKUP($B329,Company_Cat!$B$2:$E$623,2,FALSE),"")</f>
        <v/>
      </c>
      <c r="B329" s="4" t="n"/>
      <c r="C329" s="4" t="n"/>
      <c r="D329" s="4" t="n"/>
    </row>
    <row r="330">
      <c r="A330" s="6">
        <f>IFERROR(VLOOKUP($B330,Company_Cat!$B$2:$E$623,2,FALSE),"")</f>
        <v/>
      </c>
      <c r="B330" s="4" t="n"/>
      <c r="C330" s="4" t="n"/>
      <c r="D330" s="4" t="n"/>
    </row>
    <row r="331">
      <c r="A331" s="6">
        <f>IFERROR(VLOOKUP($B331,Company_Cat!$B$2:$E$623,2,FALSE),"")</f>
        <v/>
      </c>
      <c r="B331" s="4" t="n"/>
      <c r="C331" s="4" t="n"/>
      <c r="D331" s="4" t="n"/>
    </row>
    <row r="332">
      <c r="A332" s="6">
        <f>IFERROR(VLOOKUP($B332,Company_Cat!$B$2:$E$623,2,FALSE),"")</f>
        <v/>
      </c>
      <c r="B332" s="4" t="n"/>
      <c r="C332" s="4" t="n"/>
      <c r="D332" s="4" t="n"/>
    </row>
    <row r="333">
      <c r="A333" s="6">
        <f>IFERROR(VLOOKUP($B333,Company_Cat!$B$2:$E$623,2,FALSE),"")</f>
        <v/>
      </c>
      <c r="B333" s="4" t="n"/>
      <c r="C333" s="4" t="n"/>
      <c r="D333" s="4" t="n"/>
    </row>
    <row r="334">
      <c r="A334" s="6">
        <f>IFERROR(VLOOKUP($B334,Company_Cat!$B$2:$E$623,2,FALSE),"")</f>
        <v/>
      </c>
      <c r="B334" s="4" t="n"/>
      <c r="C334" s="4" t="n"/>
      <c r="D334" s="4" t="n"/>
    </row>
    <row r="335">
      <c r="A335" s="6">
        <f>IFERROR(VLOOKUP($B335,Company_Cat!$B$2:$E$623,2,FALSE),"")</f>
        <v/>
      </c>
      <c r="B335" s="4" t="n"/>
      <c r="C335" s="4" t="n"/>
      <c r="D335" s="4" t="n"/>
    </row>
    <row r="336">
      <c r="A336" s="6">
        <f>IFERROR(VLOOKUP($B336,Company_Cat!$B$2:$E$623,2,FALSE),"")</f>
        <v/>
      </c>
      <c r="B336" s="4" t="n"/>
      <c r="C336" s="4" t="n"/>
      <c r="D336" s="4" t="n"/>
    </row>
    <row r="337">
      <c r="A337" s="6">
        <f>IFERROR(VLOOKUP($B337,Company_Cat!$B$2:$E$623,2,FALSE),"")</f>
        <v/>
      </c>
      <c r="B337" s="4" t="n"/>
      <c r="C337" s="4" t="n"/>
      <c r="D337" s="4" t="n"/>
    </row>
    <row r="338">
      <c r="A338" s="6">
        <f>IFERROR(VLOOKUP($B338,Company_Cat!$B$2:$E$623,2,FALSE),"")</f>
        <v/>
      </c>
      <c r="B338" s="4" t="n"/>
      <c r="C338" s="4" t="n"/>
      <c r="D338" s="4" t="n"/>
    </row>
    <row r="339">
      <c r="A339" s="6">
        <f>IFERROR(VLOOKUP($B339,Company_Cat!$B$2:$E$623,2,FALSE),"")</f>
        <v/>
      </c>
      <c r="B339" s="4" t="n"/>
      <c r="C339" s="4" t="n"/>
      <c r="D339" s="4" t="n"/>
    </row>
    <row r="340">
      <c r="A340" s="6">
        <f>IFERROR(VLOOKUP($B340,Company_Cat!$B$2:$E$623,2,FALSE),"")</f>
        <v/>
      </c>
      <c r="B340" s="4" t="n"/>
      <c r="C340" s="4" t="n"/>
      <c r="D340" s="4" t="n"/>
    </row>
    <row r="341">
      <c r="A341" s="6">
        <f>IFERROR(VLOOKUP($B341,Company_Cat!$B$2:$E$623,2,FALSE),"")</f>
        <v/>
      </c>
      <c r="B341" s="4" t="n"/>
      <c r="C341" s="4" t="n"/>
      <c r="D341" s="4" t="n"/>
    </row>
    <row r="342">
      <c r="A342" s="6">
        <f>IFERROR(VLOOKUP($B342,Company_Cat!$B$2:$E$623,2,FALSE),"")</f>
        <v/>
      </c>
      <c r="B342" s="4" t="n"/>
      <c r="C342" s="4" t="n"/>
      <c r="D342" s="4" t="n"/>
    </row>
    <row r="343">
      <c r="A343" s="6">
        <f>IFERROR(VLOOKUP($B343,Company_Cat!$B$2:$E$623,2,FALSE),"")</f>
        <v/>
      </c>
      <c r="B343" s="4" t="n"/>
      <c r="C343" s="4" t="n"/>
      <c r="D343" s="4" t="n"/>
    </row>
    <row r="344">
      <c r="A344" s="6">
        <f>IFERROR(VLOOKUP($B344,Company_Cat!$B$2:$E$623,2,FALSE),"")</f>
        <v/>
      </c>
      <c r="B344" s="4" t="n"/>
      <c r="C344" s="4" t="n"/>
      <c r="D344" s="4" t="n"/>
    </row>
    <row r="345">
      <c r="A345" s="6">
        <f>IFERROR(VLOOKUP($B345,Company_Cat!$B$2:$E$623,2,FALSE),"")</f>
        <v/>
      </c>
      <c r="B345" s="4" t="n"/>
      <c r="C345" s="4" t="n"/>
      <c r="D345" s="4" t="n"/>
    </row>
    <row r="346">
      <c r="A346" s="6">
        <f>IFERROR(VLOOKUP($B346,Company_Cat!$B$2:$E$623,2,FALSE),"")</f>
        <v/>
      </c>
      <c r="B346" s="4" t="n"/>
      <c r="C346" s="4" t="n"/>
      <c r="D346" s="4" t="n"/>
    </row>
    <row r="347">
      <c r="A347" s="6">
        <f>IFERROR(VLOOKUP($B347,Company_Cat!$B$2:$E$623,2,FALSE),"")</f>
        <v/>
      </c>
      <c r="B347" s="4" t="n"/>
      <c r="C347" s="4" t="n"/>
      <c r="D347" s="4" t="n"/>
    </row>
    <row r="348">
      <c r="A348" s="6">
        <f>IFERROR(VLOOKUP($B348,Company_Cat!$B$2:$E$623,2,FALSE),"")</f>
        <v/>
      </c>
      <c r="B348" s="4" t="n"/>
      <c r="C348" s="4" t="n"/>
      <c r="D348" s="4" t="n"/>
    </row>
    <row r="349">
      <c r="A349" s="6">
        <f>IFERROR(VLOOKUP($B349,Company_Cat!$B$2:$E$623,2,FALSE),"")</f>
        <v/>
      </c>
      <c r="B349" s="4" t="n"/>
      <c r="C349" s="4" t="n"/>
      <c r="D349" s="4" t="n"/>
    </row>
    <row r="350">
      <c r="A350" s="6">
        <f>IFERROR(VLOOKUP($B350,Company_Cat!$B$2:$E$623,2,FALSE),"")</f>
        <v/>
      </c>
      <c r="B350" s="4" t="n"/>
      <c r="C350" s="4" t="n"/>
      <c r="D350" s="4" t="n"/>
    </row>
    <row r="351">
      <c r="A351" s="6">
        <f>IFERROR(VLOOKUP($B351,Company_Cat!$B$2:$E$623,2,FALSE),"")</f>
        <v/>
      </c>
      <c r="B351" s="4" t="n"/>
      <c r="C351" s="4" t="n"/>
      <c r="D351" s="4" t="n"/>
    </row>
    <row r="352">
      <c r="A352" s="6">
        <f>IFERROR(VLOOKUP($B352,Company_Cat!$B$2:$E$623,2,FALSE),"")</f>
        <v/>
      </c>
      <c r="B352" s="4" t="n"/>
      <c r="C352" s="4" t="n"/>
      <c r="D352" s="4" t="n"/>
    </row>
    <row r="353">
      <c r="A353" s="6">
        <f>IFERROR(VLOOKUP($B353,Company_Cat!$B$2:$E$623,2,FALSE),"")</f>
        <v/>
      </c>
      <c r="B353" s="4" t="n"/>
      <c r="C353" s="4" t="n"/>
      <c r="D353" s="4" t="n"/>
    </row>
    <row r="354">
      <c r="A354" s="6">
        <f>IFERROR(VLOOKUP($B354,Company_Cat!$B$2:$E$623,2,FALSE),"")</f>
        <v/>
      </c>
      <c r="B354" s="4" t="n"/>
      <c r="C354" s="4" t="n"/>
      <c r="D354" s="4" t="n"/>
    </row>
    <row r="355">
      <c r="A355" s="6">
        <f>IFERROR(VLOOKUP($B355,Company_Cat!$B$2:$E$623,2,FALSE),"")</f>
        <v/>
      </c>
      <c r="B355" s="4" t="n"/>
      <c r="C355" s="4" t="n"/>
      <c r="D355" s="4" t="n"/>
    </row>
    <row r="356">
      <c r="A356" s="6">
        <f>IFERROR(VLOOKUP($B356,Company_Cat!$B$2:$E$623,2,FALSE),"")</f>
        <v/>
      </c>
      <c r="B356" s="4" t="n"/>
      <c r="C356" s="4" t="n"/>
      <c r="D356" s="4" t="n"/>
    </row>
    <row r="357">
      <c r="A357" s="6">
        <f>IFERROR(VLOOKUP($B357,Company_Cat!$B$2:$E$623,2,FALSE),"")</f>
        <v/>
      </c>
      <c r="B357" s="4" t="n"/>
      <c r="C357" s="4" t="n"/>
      <c r="D357" s="4" t="n"/>
    </row>
    <row r="358">
      <c r="A358" s="6">
        <f>IFERROR(VLOOKUP($B358,Company_Cat!$B$2:$E$623,2,FALSE),"")</f>
        <v/>
      </c>
      <c r="B358" s="4" t="n"/>
      <c r="C358" s="4" t="n"/>
      <c r="D358" s="4" t="n"/>
    </row>
    <row r="359">
      <c r="A359" s="6">
        <f>IFERROR(VLOOKUP($B359,Company_Cat!$B$2:$E$623,2,FALSE),"")</f>
        <v/>
      </c>
      <c r="B359" s="4" t="n"/>
      <c r="C359" s="4" t="n"/>
      <c r="D359" s="4" t="n"/>
    </row>
    <row r="360">
      <c r="A360" s="6">
        <f>IFERROR(VLOOKUP($B360,Company_Cat!$B$2:$E$623,2,FALSE),"")</f>
        <v/>
      </c>
      <c r="B360" s="4" t="n"/>
      <c r="C360" s="4" t="n"/>
      <c r="D360" s="4" t="n"/>
    </row>
    <row r="361">
      <c r="A361" s="6">
        <f>IFERROR(VLOOKUP($B361,Company_Cat!$B$2:$E$623,2,FALSE),"")</f>
        <v/>
      </c>
      <c r="B361" s="4" t="n"/>
      <c r="C361" s="4" t="n"/>
      <c r="D361" s="4" t="n"/>
    </row>
    <row r="362">
      <c r="A362" s="6">
        <f>IFERROR(VLOOKUP($B362,Company_Cat!$B$2:$E$623,2,FALSE),"")</f>
        <v/>
      </c>
      <c r="B362" s="4" t="n"/>
      <c r="C362" s="4" t="n"/>
      <c r="D362" s="4" t="n"/>
    </row>
    <row r="363">
      <c r="A363" s="6">
        <f>IFERROR(VLOOKUP($B363,Company_Cat!$B$2:$E$623,2,FALSE),"")</f>
        <v/>
      </c>
      <c r="B363" s="4" t="n"/>
      <c r="C363" s="4" t="n"/>
      <c r="D363" s="4" t="n"/>
    </row>
    <row r="364">
      <c r="A364" s="6">
        <f>IFERROR(VLOOKUP($B364,Company_Cat!$B$2:$E$623,2,FALSE),"")</f>
        <v/>
      </c>
      <c r="B364" s="4" t="n"/>
      <c r="C364" s="4" t="n"/>
      <c r="D364" s="4" t="n"/>
    </row>
    <row r="365">
      <c r="A365" s="6">
        <f>IFERROR(VLOOKUP($B365,Company_Cat!$B$2:$E$623,2,FALSE),"")</f>
        <v/>
      </c>
      <c r="B365" s="4" t="n"/>
      <c r="C365" s="4" t="n"/>
      <c r="D365" s="4" t="n"/>
    </row>
    <row r="366">
      <c r="A366" s="6">
        <f>IFERROR(VLOOKUP($B366,Company_Cat!$B$2:$E$623,2,FALSE),"")</f>
        <v/>
      </c>
      <c r="B366" s="4" t="n"/>
      <c r="C366" s="4" t="n"/>
      <c r="D366" s="4" t="n"/>
    </row>
    <row r="367">
      <c r="A367" s="6">
        <f>IFERROR(VLOOKUP($B367,Company_Cat!$B$2:$E$623,2,FALSE),"")</f>
        <v/>
      </c>
      <c r="B367" s="4" t="n"/>
      <c r="C367" s="4" t="n"/>
      <c r="D367" s="4" t="n"/>
    </row>
    <row r="368">
      <c r="A368" s="6">
        <f>IFERROR(VLOOKUP($B368,Company_Cat!$B$2:$E$623,2,FALSE),"")</f>
        <v/>
      </c>
      <c r="B368" s="4" t="n"/>
      <c r="C368" s="4" t="n"/>
      <c r="D368" s="4" t="n"/>
    </row>
    <row r="369">
      <c r="A369" s="6">
        <f>IFERROR(VLOOKUP($B369,Company_Cat!$B$2:$E$623,2,FALSE),"")</f>
        <v/>
      </c>
      <c r="B369" s="4" t="n"/>
      <c r="C369" s="4" t="n"/>
      <c r="D369" s="4" t="n"/>
    </row>
    <row r="370">
      <c r="A370" s="6">
        <f>IFERROR(VLOOKUP($B370,Company_Cat!$B$2:$E$623,2,FALSE),"")</f>
        <v/>
      </c>
      <c r="B370" s="4" t="n"/>
      <c r="C370" s="4" t="n"/>
      <c r="D370" s="4" t="n"/>
    </row>
    <row r="371">
      <c r="A371" s="6">
        <f>IFERROR(VLOOKUP($B371,Company_Cat!$B$2:$E$623,2,FALSE),"")</f>
        <v/>
      </c>
      <c r="B371" s="4" t="n"/>
      <c r="C371" s="4" t="n"/>
      <c r="D371" s="4" t="n"/>
    </row>
    <row r="372">
      <c r="A372" s="6">
        <f>IFERROR(VLOOKUP($B372,Company_Cat!$B$2:$E$623,2,FALSE),"")</f>
        <v/>
      </c>
      <c r="B372" s="4" t="n"/>
      <c r="C372" s="4" t="n"/>
      <c r="D372" s="4" t="n"/>
    </row>
    <row r="373">
      <c r="A373" s="6">
        <f>IFERROR(VLOOKUP($B373,Company_Cat!$B$2:$E$623,2,FALSE),"")</f>
        <v/>
      </c>
      <c r="B373" s="4" t="n"/>
      <c r="C373" s="4" t="n"/>
      <c r="D373" s="4" t="n"/>
    </row>
    <row r="374">
      <c r="A374" s="6">
        <f>IFERROR(VLOOKUP($B374,Company_Cat!$B$2:$E$623,2,FALSE),"")</f>
        <v/>
      </c>
      <c r="B374" s="4" t="n"/>
      <c r="C374" s="4" t="n"/>
      <c r="D374" s="4" t="n"/>
    </row>
    <row r="375">
      <c r="A375" s="6">
        <f>IFERROR(VLOOKUP($B375,Company_Cat!$B$2:$E$623,2,FALSE),"")</f>
        <v/>
      </c>
      <c r="B375" s="4" t="n"/>
      <c r="C375" s="4" t="n"/>
      <c r="D375" s="4" t="n"/>
    </row>
    <row r="376">
      <c r="A376" s="6">
        <f>IFERROR(VLOOKUP($B376,Company_Cat!$B$2:$E$623,2,FALSE),"")</f>
        <v/>
      </c>
      <c r="B376" s="4" t="n"/>
      <c r="C376" s="4" t="n"/>
      <c r="D376" s="4" t="n"/>
    </row>
    <row r="377">
      <c r="A377" s="6">
        <f>IFERROR(VLOOKUP($B377,Company_Cat!$B$2:$E$623,2,FALSE),"")</f>
        <v/>
      </c>
      <c r="B377" s="4" t="n"/>
      <c r="C377" s="4" t="n"/>
      <c r="D377" s="4" t="n"/>
    </row>
    <row r="378">
      <c r="A378" s="6">
        <f>IFERROR(VLOOKUP($B378,Company_Cat!$B$2:$E$623,2,FALSE),"")</f>
        <v/>
      </c>
      <c r="B378" s="4" t="n"/>
      <c r="C378" s="4" t="n"/>
      <c r="D378" s="4" t="n"/>
    </row>
    <row r="379">
      <c r="A379" s="6">
        <f>IFERROR(VLOOKUP($B379,Company_Cat!$B$2:$E$623,2,FALSE),"")</f>
        <v/>
      </c>
      <c r="B379" s="4" t="n"/>
      <c r="C379" s="4" t="n"/>
      <c r="D379" s="4" t="n"/>
    </row>
    <row r="380">
      <c r="A380" s="6">
        <f>IFERROR(VLOOKUP($B380,Company_Cat!$B$2:$E$623,2,FALSE),"")</f>
        <v/>
      </c>
      <c r="B380" s="4" t="n"/>
      <c r="C380" s="4" t="n"/>
      <c r="D380" s="4" t="n"/>
    </row>
    <row r="381">
      <c r="A381" s="6">
        <f>IFERROR(VLOOKUP($B381,Company_Cat!$B$2:$E$623,2,FALSE),"")</f>
        <v/>
      </c>
      <c r="B381" s="4" t="n"/>
      <c r="C381" s="4" t="n"/>
      <c r="D381" s="4" t="n"/>
    </row>
    <row r="382">
      <c r="A382" s="6">
        <f>IFERROR(VLOOKUP($B382,Company_Cat!$B$2:$E$623,2,FALSE),"")</f>
        <v/>
      </c>
      <c r="B382" s="4" t="n"/>
      <c r="C382" s="4" t="n"/>
      <c r="D382" s="4" t="n"/>
    </row>
    <row r="383">
      <c r="A383" s="6">
        <f>IFERROR(VLOOKUP($B383,Company_Cat!$B$2:$E$623,2,FALSE),"")</f>
        <v/>
      </c>
      <c r="B383" s="4" t="n"/>
      <c r="C383" s="4" t="n"/>
      <c r="D383" s="4" t="n"/>
    </row>
    <row r="384">
      <c r="A384" s="6">
        <f>IFERROR(VLOOKUP($B384,Company_Cat!$B$2:$E$623,2,FALSE),"")</f>
        <v/>
      </c>
      <c r="B384" s="4" t="n"/>
      <c r="C384" s="4" t="n"/>
      <c r="D384" s="4" t="n"/>
    </row>
    <row r="385">
      <c r="A385" s="6">
        <f>IFERROR(VLOOKUP($B385,Company_Cat!$B$2:$E$623,2,FALSE),"")</f>
        <v/>
      </c>
      <c r="B385" s="4" t="n"/>
      <c r="C385" s="4" t="n"/>
      <c r="D385" s="4" t="n"/>
    </row>
    <row r="386">
      <c r="A386" s="6">
        <f>IFERROR(VLOOKUP($B386,Company_Cat!$B$2:$E$623,2,FALSE),"")</f>
        <v/>
      </c>
      <c r="B386" s="4" t="n"/>
      <c r="C386" s="4" t="n"/>
      <c r="D386" s="4" t="n"/>
    </row>
    <row r="387">
      <c r="A387" s="6">
        <f>IFERROR(VLOOKUP($B387,Company_Cat!$B$2:$E$623,2,FALSE),"")</f>
        <v/>
      </c>
      <c r="B387" s="4" t="n"/>
      <c r="C387" s="4" t="n"/>
      <c r="D387" s="4" t="n"/>
    </row>
    <row r="388">
      <c r="A388" s="6">
        <f>IFERROR(VLOOKUP($B388,Company_Cat!$B$2:$E$623,2,FALSE),"")</f>
        <v/>
      </c>
      <c r="B388" s="4" t="n"/>
      <c r="C388" s="4" t="n"/>
      <c r="D388" s="4" t="n"/>
    </row>
    <row r="389">
      <c r="A389" s="6">
        <f>IFERROR(VLOOKUP($B389,Company_Cat!$B$2:$E$623,2,FALSE),"")</f>
        <v/>
      </c>
      <c r="B389" s="4" t="n"/>
      <c r="C389" s="4" t="n"/>
      <c r="D389" s="4" t="n"/>
    </row>
    <row r="390">
      <c r="A390" s="6">
        <f>IFERROR(VLOOKUP($B390,Company_Cat!$B$2:$E$623,2,FALSE),"")</f>
        <v/>
      </c>
      <c r="B390" s="4" t="n"/>
      <c r="C390" s="4" t="n"/>
      <c r="D390" s="4" t="n"/>
    </row>
    <row r="391">
      <c r="A391" s="6">
        <f>IFERROR(VLOOKUP($B391,Company_Cat!$B$2:$E$623,2,FALSE),"")</f>
        <v/>
      </c>
      <c r="B391" s="4" t="n"/>
      <c r="C391" s="4" t="n"/>
      <c r="D391" s="4" t="n"/>
    </row>
    <row r="392">
      <c r="A392" s="6">
        <f>IFERROR(VLOOKUP($B392,Company_Cat!$B$2:$E$623,2,FALSE),"")</f>
        <v/>
      </c>
      <c r="B392" s="4" t="n"/>
      <c r="C392" s="4" t="n"/>
      <c r="D392" s="4" t="n"/>
    </row>
    <row r="393">
      <c r="A393" s="6">
        <f>IFERROR(VLOOKUP($B393,Company_Cat!$B$2:$E$623,2,FALSE),"")</f>
        <v/>
      </c>
      <c r="B393" s="4" t="n"/>
      <c r="C393" s="4" t="n"/>
      <c r="D393" s="4" t="n"/>
    </row>
    <row r="394">
      <c r="A394" s="6">
        <f>IFERROR(VLOOKUP($B394,Company_Cat!$B$2:$E$623,2,FALSE),"")</f>
        <v/>
      </c>
      <c r="B394" s="4" t="n"/>
      <c r="C394" s="4" t="n"/>
      <c r="D394" s="4" t="n"/>
    </row>
    <row r="395">
      <c r="A395" s="6">
        <f>IFERROR(VLOOKUP($B395,Company_Cat!$B$2:$E$623,2,FALSE),"")</f>
        <v/>
      </c>
      <c r="B395" s="4" t="n"/>
      <c r="C395" s="4" t="n"/>
      <c r="D395" s="4" t="n"/>
    </row>
    <row r="396">
      <c r="A396" s="6">
        <f>IFERROR(VLOOKUP($B396,Company_Cat!$B$2:$E$623,2,FALSE),"")</f>
        <v/>
      </c>
      <c r="B396" s="4" t="n"/>
      <c r="C396" s="4" t="n"/>
      <c r="D396" s="4" t="n"/>
    </row>
    <row r="397">
      <c r="A397" s="6">
        <f>IFERROR(VLOOKUP($B397,Company_Cat!$B$2:$E$623,2,FALSE),"")</f>
        <v/>
      </c>
      <c r="B397" s="4" t="n"/>
      <c r="C397" s="4" t="n"/>
      <c r="D397" s="4" t="n"/>
    </row>
    <row r="398">
      <c r="A398" s="6">
        <f>IFERROR(VLOOKUP($B398,Company_Cat!$B$2:$E$623,2,FALSE),"")</f>
        <v/>
      </c>
      <c r="B398" s="4" t="n"/>
      <c r="C398" s="4" t="n"/>
      <c r="D398" s="4" t="n"/>
    </row>
    <row r="399">
      <c r="A399" s="6">
        <f>IFERROR(VLOOKUP($B399,Company_Cat!$B$2:$E$623,2,FALSE),"")</f>
        <v/>
      </c>
      <c r="B399" s="4" t="n"/>
      <c r="C399" s="4" t="n"/>
      <c r="D399" s="4" t="n"/>
    </row>
    <row r="400">
      <c r="A400" s="6">
        <f>IFERROR(VLOOKUP($B400,Company_Cat!$B$2:$E$623,2,FALSE),"")</f>
        <v/>
      </c>
      <c r="B400" s="4" t="n"/>
      <c r="C400" s="4" t="n"/>
      <c r="D400" s="4" t="n"/>
    </row>
    <row r="401">
      <c r="A401" s="6">
        <f>IFERROR(VLOOKUP($B401,Company_Cat!$B$2:$E$623,2,FALSE),"")</f>
        <v/>
      </c>
      <c r="B401" s="4" t="n"/>
      <c r="C401" s="4" t="n"/>
      <c r="D401" s="4" t="n"/>
    </row>
    <row r="402">
      <c r="A402" s="6">
        <f>IFERROR(VLOOKUP($B402,Company_Cat!$B$2:$E$623,2,FALSE),"")</f>
        <v/>
      </c>
      <c r="B402" s="4" t="n"/>
      <c r="C402" s="4" t="n"/>
      <c r="D402" s="4" t="n"/>
    </row>
    <row r="403">
      <c r="A403" s="6">
        <f>IFERROR(VLOOKUP($B403,Company_Cat!$B$2:$E$623,2,FALSE),"")</f>
        <v/>
      </c>
      <c r="B403" s="4" t="n"/>
      <c r="C403" s="4" t="n"/>
      <c r="D403" s="4" t="n"/>
    </row>
    <row r="404">
      <c r="A404" s="6">
        <f>IFERROR(VLOOKUP($B404,Company_Cat!$B$2:$E$623,2,FALSE),"")</f>
        <v/>
      </c>
      <c r="B404" s="4" t="n"/>
      <c r="C404" s="4" t="n"/>
      <c r="D404" s="4" t="n"/>
    </row>
    <row r="405">
      <c r="A405" s="6">
        <f>IFERROR(VLOOKUP($B405,Company_Cat!$B$2:$E$623,2,FALSE),"")</f>
        <v/>
      </c>
      <c r="B405" s="4" t="n"/>
      <c r="C405" s="4" t="n"/>
      <c r="D405" s="4" t="n"/>
    </row>
    <row r="406">
      <c r="A406" s="6">
        <f>IFERROR(VLOOKUP($B406,Company_Cat!$B$2:$E$623,2,FALSE),"")</f>
        <v/>
      </c>
      <c r="B406" s="4" t="n"/>
      <c r="C406" s="4" t="n"/>
      <c r="D406" s="4" t="n"/>
    </row>
    <row r="407">
      <c r="A407" s="6">
        <f>IFERROR(VLOOKUP($B407,Company_Cat!$B$2:$E$623,2,FALSE),"")</f>
        <v/>
      </c>
      <c r="B407" s="4" t="n"/>
      <c r="C407" s="4" t="n"/>
      <c r="D407" s="4" t="n"/>
    </row>
    <row r="408">
      <c r="A408" s="6">
        <f>IFERROR(VLOOKUP($B408,Company_Cat!$B$2:$E$623,2,FALSE),"")</f>
        <v/>
      </c>
      <c r="B408" s="4" t="n"/>
      <c r="C408" s="4" t="n"/>
      <c r="D408" s="4" t="n"/>
    </row>
    <row r="409">
      <c r="A409" s="6">
        <f>IFERROR(VLOOKUP($B409,Company_Cat!$B$2:$E$623,2,FALSE),"")</f>
        <v/>
      </c>
      <c r="B409" s="4" t="n"/>
      <c r="C409" s="4" t="n"/>
      <c r="D409" s="4" t="n"/>
    </row>
    <row r="410">
      <c r="A410" s="6">
        <f>IFERROR(VLOOKUP($B410,Company_Cat!$B$2:$E$623,2,FALSE),"")</f>
        <v/>
      </c>
      <c r="B410" s="4" t="n"/>
      <c r="C410" s="4" t="n"/>
      <c r="D410" s="4" t="n"/>
    </row>
    <row r="411">
      <c r="A411" s="6">
        <f>IFERROR(VLOOKUP($B411,Company_Cat!$B$2:$E$623,2,FALSE),"")</f>
        <v/>
      </c>
      <c r="B411" s="4" t="n"/>
      <c r="C411" s="4" t="n"/>
      <c r="D411" s="4" t="n"/>
    </row>
    <row r="412">
      <c r="A412" s="6">
        <f>IFERROR(VLOOKUP($B412,Company_Cat!$B$2:$E$623,2,FALSE),"")</f>
        <v/>
      </c>
      <c r="B412" s="4" t="n"/>
      <c r="C412" s="4" t="n"/>
      <c r="D412" s="4" t="n"/>
    </row>
    <row r="413">
      <c r="A413" s="6">
        <f>IFERROR(VLOOKUP($B413,Company_Cat!$B$2:$E$623,2,FALSE),"")</f>
        <v/>
      </c>
      <c r="B413" s="4" t="n"/>
      <c r="C413" s="4" t="n"/>
      <c r="D413" s="4" t="n"/>
    </row>
    <row r="414">
      <c r="A414" s="6">
        <f>IFERROR(VLOOKUP($B414,Company_Cat!$B$2:$E$623,2,FALSE),"")</f>
        <v/>
      </c>
      <c r="B414" s="4" t="n"/>
      <c r="C414" s="4" t="n"/>
      <c r="D414" s="4" t="n"/>
    </row>
    <row r="415">
      <c r="A415" s="6">
        <f>IFERROR(VLOOKUP($B415,Company_Cat!$B$2:$E$623,2,FALSE),"")</f>
        <v/>
      </c>
      <c r="B415" s="4" t="n"/>
      <c r="C415" s="4" t="n"/>
      <c r="D415" s="4" t="n"/>
    </row>
    <row r="416">
      <c r="A416" s="6">
        <f>IFERROR(VLOOKUP($B416,Company_Cat!$B$2:$E$623,2,FALSE),"")</f>
        <v/>
      </c>
      <c r="B416" s="4" t="n"/>
      <c r="C416" s="4" t="n"/>
      <c r="D416" s="4" t="n"/>
    </row>
    <row r="417">
      <c r="A417" s="6">
        <f>IFERROR(VLOOKUP($B417,Company_Cat!$B$2:$E$623,2,FALSE),"")</f>
        <v/>
      </c>
      <c r="B417" s="4" t="n"/>
      <c r="C417" s="4" t="n"/>
      <c r="D417" s="4" t="n"/>
    </row>
    <row r="418">
      <c r="A418" s="6">
        <f>IFERROR(VLOOKUP($B418,Company_Cat!$B$2:$E$623,2,FALSE),"")</f>
        <v/>
      </c>
      <c r="B418" s="4" t="n"/>
      <c r="C418" s="4" t="n"/>
      <c r="D418" s="4" t="n"/>
    </row>
    <row r="419">
      <c r="A419" s="6">
        <f>IFERROR(VLOOKUP($B419,Company_Cat!$B$2:$E$623,2,FALSE),"")</f>
        <v/>
      </c>
      <c r="B419" s="4" t="n"/>
      <c r="C419" s="4" t="n"/>
      <c r="D419" s="4" t="n"/>
    </row>
    <row r="420">
      <c r="A420" s="6">
        <f>IFERROR(VLOOKUP($B420,Company_Cat!$B$2:$E$623,2,FALSE),"")</f>
        <v/>
      </c>
      <c r="B420" s="4" t="n"/>
      <c r="C420" s="4" t="n"/>
      <c r="D420" s="4" t="n"/>
    </row>
    <row r="421">
      <c r="A421" s="6">
        <f>IFERROR(VLOOKUP($B421,Company_Cat!$B$2:$E$623,2,FALSE),"")</f>
        <v/>
      </c>
      <c r="B421" s="4" t="n"/>
      <c r="C421" s="4" t="n"/>
      <c r="D421" s="4" t="n"/>
    </row>
    <row r="422">
      <c r="A422" s="6">
        <f>IFERROR(VLOOKUP($B422,Company_Cat!$B$2:$E$623,2,FALSE),"")</f>
        <v/>
      </c>
      <c r="B422" s="4" t="n"/>
      <c r="C422" s="4" t="n"/>
      <c r="D422" s="4" t="n"/>
    </row>
    <row r="423">
      <c r="A423" s="6">
        <f>IFERROR(VLOOKUP($B423,Company_Cat!$B$2:$E$623,2,FALSE),"")</f>
        <v/>
      </c>
      <c r="B423" s="4" t="n"/>
      <c r="C423" s="4" t="n"/>
      <c r="D423" s="4" t="n"/>
    </row>
    <row r="424">
      <c r="A424" s="6">
        <f>IFERROR(VLOOKUP($B424,Company_Cat!$B$2:$E$623,2,FALSE),"")</f>
        <v/>
      </c>
      <c r="B424" s="4" t="n"/>
      <c r="C424" s="4" t="n"/>
      <c r="D424" s="4" t="n"/>
    </row>
    <row r="425">
      <c r="A425" s="6">
        <f>IFERROR(VLOOKUP($B425,Company_Cat!$B$2:$E$623,2,FALSE),"")</f>
        <v/>
      </c>
      <c r="B425" s="4" t="n"/>
      <c r="C425" s="4" t="n"/>
      <c r="D425" s="4" t="n"/>
    </row>
    <row r="426">
      <c r="A426" s="6">
        <f>IFERROR(VLOOKUP($B426,Company_Cat!$B$2:$E$623,2,FALSE),"")</f>
        <v/>
      </c>
      <c r="B426" s="4" t="n"/>
      <c r="C426" s="4" t="n"/>
      <c r="D426" s="4" t="n"/>
    </row>
    <row r="427">
      <c r="A427" s="6">
        <f>IFERROR(VLOOKUP($B427,Company_Cat!$B$2:$E$623,2,FALSE),"")</f>
        <v/>
      </c>
      <c r="B427" s="4" t="n"/>
      <c r="C427" s="4" t="n"/>
      <c r="D427" s="4" t="n"/>
    </row>
    <row r="428">
      <c r="A428" s="6">
        <f>IFERROR(VLOOKUP($B428,Company_Cat!$B$2:$E$623,2,FALSE),"")</f>
        <v/>
      </c>
      <c r="B428" s="4" t="n"/>
      <c r="C428" s="4" t="n"/>
      <c r="D428" s="4" t="n"/>
    </row>
    <row r="429">
      <c r="A429" s="6">
        <f>IFERROR(VLOOKUP($B429,Company_Cat!$B$2:$E$623,2,FALSE),"")</f>
        <v/>
      </c>
      <c r="B429" s="4" t="n"/>
      <c r="C429" s="4" t="n"/>
      <c r="D429" s="4" t="n"/>
    </row>
    <row r="430">
      <c r="A430" s="6">
        <f>IFERROR(VLOOKUP($B430,Company_Cat!$B$2:$E$623,2,FALSE),"")</f>
        <v/>
      </c>
      <c r="B430" s="4" t="n"/>
      <c r="C430" s="4" t="n"/>
      <c r="D430" s="4" t="n"/>
    </row>
    <row r="431">
      <c r="A431" s="6">
        <f>IFERROR(VLOOKUP($B431,Company_Cat!$B$2:$E$623,2,FALSE),"")</f>
        <v/>
      </c>
      <c r="B431" s="4" t="n"/>
      <c r="C431" s="4" t="n"/>
      <c r="D431" s="4" t="n"/>
    </row>
    <row r="432">
      <c r="A432" s="6">
        <f>IFERROR(VLOOKUP($B432,Company_Cat!$B$2:$E$623,2,FALSE),"")</f>
        <v/>
      </c>
      <c r="B432" s="4" t="n"/>
      <c r="C432" s="4" t="n"/>
      <c r="D432" s="4" t="n"/>
    </row>
    <row r="433">
      <c r="A433" s="6">
        <f>IFERROR(VLOOKUP($B433,Company_Cat!$B$2:$E$623,2,FALSE),"")</f>
        <v/>
      </c>
      <c r="B433" s="4" t="n"/>
      <c r="C433" s="4" t="n"/>
      <c r="D433" s="4" t="n"/>
    </row>
    <row r="434">
      <c r="A434" s="6">
        <f>IFERROR(VLOOKUP($B434,Company_Cat!$B$2:$E$623,2,FALSE),"")</f>
        <v/>
      </c>
      <c r="B434" s="4" t="n"/>
      <c r="C434" s="4" t="n"/>
      <c r="D434" s="4" t="n"/>
    </row>
    <row r="435">
      <c r="A435" s="6">
        <f>IFERROR(VLOOKUP($B435,Company_Cat!$B$2:$E$623,2,FALSE),"")</f>
        <v/>
      </c>
      <c r="B435" s="4" t="n"/>
      <c r="C435" s="4" t="n"/>
      <c r="D435" s="4" t="n"/>
    </row>
    <row r="436">
      <c r="A436" s="6">
        <f>IFERROR(VLOOKUP($B436,Company_Cat!$B$2:$E$623,2,FALSE),"")</f>
        <v/>
      </c>
      <c r="B436" s="4" t="n"/>
      <c r="C436" s="4" t="n"/>
      <c r="D436" s="4" t="n"/>
    </row>
    <row r="437">
      <c r="A437" s="6">
        <f>IFERROR(VLOOKUP($B437,Company_Cat!$B$2:$E$623,2,FALSE),"")</f>
        <v/>
      </c>
      <c r="B437" s="4" t="n"/>
      <c r="C437" s="4" t="n"/>
      <c r="D437" s="4" t="n"/>
    </row>
    <row r="438">
      <c r="A438" s="6">
        <f>IFERROR(VLOOKUP($B438,Company_Cat!$B$2:$E$623,2,FALSE),"")</f>
        <v/>
      </c>
      <c r="B438" s="4" t="n"/>
      <c r="C438" s="4" t="n"/>
      <c r="D438" s="4" t="n"/>
    </row>
    <row r="439">
      <c r="A439" s="6">
        <f>IFERROR(VLOOKUP($B439,Company_Cat!$B$2:$E$623,2,FALSE),"")</f>
        <v/>
      </c>
      <c r="B439" s="4" t="n"/>
      <c r="C439" s="4" t="n"/>
      <c r="D439" s="4" t="n"/>
    </row>
    <row r="440">
      <c r="A440" s="6">
        <f>IFERROR(VLOOKUP($B440,Company_Cat!$B$2:$E$623,2,FALSE),"")</f>
        <v/>
      </c>
      <c r="B440" s="4" t="n"/>
      <c r="C440" s="4" t="n"/>
      <c r="D440" s="4" t="n"/>
    </row>
    <row r="441">
      <c r="A441" s="6">
        <f>IFERROR(VLOOKUP($B441,Company_Cat!$B$2:$E$623,2,FALSE),"")</f>
        <v/>
      </c>
      <c r="B441" s="4" t="n"/>
      <c r="C441" s="4" t="n"/>
      <c r="D441" s="4" t="n"/>
    </row>
    <row r="442">
      <c r="A442" s="6">
        <f>IFERROR(VLOOKUP($B442,Company_Cat!$B$2:$E$623,2,FALSE),"")</f>
        <v/>
      </c>
      <c r="B442" s="4" t="n"/>
      <c r="C442" s="4" t="n"/>
      <c r="D442" s="4" t="n"/>
    </row>
    <row r="443">
      <c r="A443" s="6">
        <f>IFERROR(VLOOKUP($B443,Company_Cat!$B$2:$E$623,2,FALSE),"")</f>
        <v/>
      </c>
      <c r="B443" s="4" t="n"/>
      <c r="C443" s="4" t="n"/>
      <c r="D443" s="4" t="n"/>
    </row>
    <row r="444">
      <c r="A444" s="6">
        <f>IFERROR(VLOOKUP($B444,Company_Cat!$B$2:$E$623,2,FALSE),"")</f>
        <v/>
      </c>
      <c r="B444" s="4" t="n"/>
      <c r="C444" s="4" t="n"/>
      <c r="D444" s="4" t="n"/>
    </row>
    <row r="445">
      <c r="A445" s="6">
        <f>IFERROR(VLOOKUP($B445,Company_Cat!$B$2:$E$623,2,FALSE),"")</f>
        <v/>
      </c>
      <c r="B445" s="4" t="n"/>
      <c r="C445" s="4" t="n"/>
      <c r="D445" s="4" t="n"/>
    </row>
    <row r="446">
      <c r="A446" s="6">
        <f>IFERROR(VLOOKUP($B446,Company_Cat!$B$2:$E$623,2,FALSE),"")</f>
        <v/>
      </c>
      <c r="B446" s="4" t="n"/>
      <c r="C446" s="4" t="n"/>
      <c r="D446" s="4" t="n"/>
    </row>
    <row r="447">
      <c r="A447" s="6">
        <f>IFERROR(VLOOKUP($B447,Company_Cat!$B$2:$E$623,2,FALSE),"")</f>
        <v/>
      </c>
      <c r="B447" s="4" t="n"/>
      <c r="C447" s="4" t="n"/>
      <c r="D447" s="4" t="n"/>
    </row>
    <row r="448">
      <c r="A448" s="6">
        <f>IFERROR(VLOOKUP($B448,Company_Cat!$B$2:$E$623,2,FALSE),"")</f>
        <v/>
      </c>
      <c r="B448" s="4" t="n"/>
      <c r="C448" s="4" t="n"/>
      <c r="D448" s="4" t="n"/>
    </row>
    <row r="449">
      <c r="A449" s="6">
        <f>IFERROR(VLOOKUP($B449,Company_Cat!$B$2:$E$623,2,FALSE),"")</f>
        <v/>
      </c>
      <c r="B449" s="4" t="n"/>
      <c r="C449" s="4" t="n"/>
      <c r="D449" s="4" t="n"/>
    </row>
    <row r="450">
      <c r="A450" s="6">
        <f>IFERROR(VLOOKUP($B450,Company_Cat!$B$2:$E$623,2,FALSE),"")</f>
        <v/>
      </c>
      <c r="B450" s="4" t="n"/>
      <c r="C450" s="4" t="n"/>
      <c r="D450" s="4" t="n"/>
    </row>
    <row r="451">
      <c r="A451" s="6">
        <f>IFERROR(VLOOKUP($B451,Company_Cat!$B$2:$E$623,2,FALSE),"")</f>
        <v/>
      </c>
      <c r="B451" s="4" t="n"/>
      <c r="C451" s="4" t="n"/>
      <c r="D451" s="4" t="n"/>
    </row>
    <row r="452">
      <c r="A452" s="6">
        <f>IFERROR(VLOOKUP($B452,Company_Cat!$B$2:$E$623,2,FALSE),"")</f>
        <v/>
      </c>
      <c r="B452" s="4" t="n"/>
      <c r="C452" s="4" t="n"/>
      <c r="D452" s="4" t="n"/>
    </row>
    <row r="453">
      <c r="A453" s="6">
        <f>IFERROR(VLOOKUP($B453,Company_Cat!$B$2:$E$623,2,FALSE),"")</f>
        <v/>
      </c>
      <c r="B453" s="4" t="n"/>
      <c r="C453" s="4" t="n"/>
      <c r="D453" s="4" t="n"/>
    </row>
    <row r="454">
      <c r="A454" s="6">
        <f>IFERROR(VLOOKUP($B454,Company_Cat!$B$2:$E$623,2,FALSE),"")</f>
        <v/>
      </c>
      <c r="B454" s="4" t="n"/>
      <c r="C454" s="4" t="n"/>
      <c r="D454" s="4" t="n"/>
    </row>
    <row r="455">
      <c r="A455" s="6">
        <f>IFERROR(VLOOKUP($B455,Company_Cat!$B$2:$E$623,2,FALSE),"")</f>
        <v/>
      </c>
      <c r="B455" s="4" t="n"/>
      <c r="C455" s="4" t="n"/>
      <c r="D455" s="4" t="n"/>
    </row>
    <row r="456">
      <c r="A456" s="6">
        <f>IFERROR(VLOOKUP($B456,Company_Cat!$B$2:$E$623,2,FALSE),"")</f>
        <v/>
      </c>
      <c r="B456" s="4" t="n"/>
      <c r="C456" s="4" t="n"/>
      <c r="D456" s="4" t="n"/>
    </row>
    <row r="457">
      <c r="A457" s="6">
        <f>IFERROR(VLOOKUP($B457,Company_Cat!$B$2:$E$623,2,FALSE),"")</f>
        <v/>
      </c>
      <c r="B457" s="4" t="n"/>
      <c r="C457" s="4" t="n"/>
      <c r="D457" s="4" t="n"/>
    </row>
    <row r="458">
      <c r="A458" s="6">
        <f>IFERROR(VLOOKUP($B458,Company_Cat!$B$2:$E$623,2,FALSE),"")</f>
        <v/>
      </c>
      <c r="B458" s="4" t="n"/>
      <c r="C458" s="4" t="n"/>
      <c r="D458" s="4" t="n"/>
    </row>
    <row r="459">
      <c r="A459" s="6">
        <f>IFERROR(VLOOKUP($B459,Company_Cat!$B$2:$E$623,2,FALSE),"")</f>
        <v/>
      </c>
      <c r="B459" s="4" t="n"/>
      <c r="C459" s="4" t="n"/>
      <c r="D459" s="4" t="n"/>
    </row>
    <row r="460">
      <c r="A460" s="6">
        <f>IFERROR(VLOOKUP($B460,Company_Cat!$B$2:$E$623,2,FALSE),"")</f>
        <v/>
      </c>
      <c r="B460" s="4" t="n"/>
      <c r="C460" s="4" t="n"/>
      <c r="D460" s="4" t="n"/>
    </row>
    <row r="461">
      <c r="A461" s="6">
        <f>IFERROR(VLOOKUP($B461,Company_Cat!$B$2:$E$623,2,FALSE),"")</f>
        <v/>
      </c>
      <c r="B461" s="4" t="n"/>
      <c r="C461" s="4" t="n"/>
      <c r="D461" s="4" t="n"/>
    </row>
    <row r="462">
      <c r="A462" s="6">
        <f>IFERROR(VLOOKUP($B462,Company_Cat!$B$2:$E$623,2,FALSE),"")</f>
        <v/>
      </c>
      <c r="B462" s="4" t="n"/>
      <c r="C462" s="4" t="n"/>
      <c r="D462" s="4" t="n"/>
    </row>
    <row r="463">
      <c r="A463" s="6">
        <f>IFERROR(VLOOKUP($B463,Company_Cat!$B$2:$E$623,2,FALSE),"")</f>
        <v/>
      </c>
      <c r="B463" s="4" t="n"/>
      <c r="C463" s="4" t="n"/>
      <c r="D463" s="4" t="n"/>
    </row>
    <row r="464">
      <c r="A464" s="6">
        <f>IFERROR(VLOOKUP($B464,Company_Cat!$B$2:$E$623,2,FALSE),"")</f>
        <v/>
      </c>
      <c r="B464" s="4" t="n"/>
      <c r="C464" s="4" t="n"/>
      <c r="D464" s="4" t="n"/>
    </row>
    <row r="465">
      <c r="A465" s="6">
        <f>IFERROR(VLOOKUP($B465,Company_Cat!$B$2:$E$623,2,FALSE),"")</f>
        <v/>
      </c>
      <c r="B465" s="4" t="n"/>
      <c r="C465" s="4" t="n"/>
      <c r="D465" s="4" t="n"/>
    </row>
    <row r="466">
      <c r="A466" s="6">
        <f>IFERROR(VLOOKUP($B466,Company_Cat!$B$2:$E$623,2,FALSE),"")</f>
        <v/>
      </c>
      <c r="B466" s="4" t="n"/>
      <c r="C466" s="4" t="n"/>
      <c r="D466" s="4" t="n"/>
    </row>
    <row r="467">
      <c r="A467" s="6">
        <f>IFERROR(VLOOKUP($B467,Company_Cat!$B$2:$E$623,2,FALSE),"")</f>
        <v/>
      </c>
      <c r="B467" s="4" t="n"/>
      <c r="C467" s="4" t="n"/>
      <c r="D467" s="4" t="n"/>
    </row>
    <row r="468">
      <c r="A468" s="6">
        <f>IFERROR(VLOOKUP($B468,Company_Cat!$B$2:$E$623,2,FALSE),"")</f>
        <v/>
      </c>
      <c r="B468" s="4" t="n"/>
      <c r="C468" s="4" t="n"/>
      <c r="D468" s="4" t="n"/>
    </row>
    <row r="469">
      <c r="A469" s="6">
        <f>IFERROR(VLOOKUP($B469,Company_Cat!$B$2:$E$623,2,FALSE),"")</f>
        <v/>
      </c>
      <c r="B469" s="4" t="n"/>
      <c r="C469" s="4" t="n"/>
      <c r="D469" s="4" t="n"/>
    </row>
    <row r="470">
      <c r="A470" s="6">
        <f>IFERROR(VLOOKUP($B470,Company_Cat!$B$2:$E$623,2,FALSE),"")</f>
        <v/>
      </c>
      <c r="B470" s="4" t="n"/>
      <c r="C470" s="4" t="n"/>
      <c r="D470" s="4" t="n"/>
    </row>
    <row r="471">
      <c r="A471" s="6">
        <f>IFERROR(VLOOKUP($B471,Company_Cat!$B$2:$E$623,2,FALSE),"")</f>
        <v/>
      </c>
      <c r="B471" s="4" t="n"/>
      <c r="C471" s="4" t="n"/>
      <c r="D471" s="4" t="n"/>
    </row>
    <row r="472">
      <c r="A472" s="6">
        <f>IFERROR(VLOOKUP($B472,Company_Cat!$B$2:$E$623,2,FALSE),"")</f>
        <v/>
      </c>
      <c r="B472" s="4" t="n"/>
      <c r="C472" s="4" t="n"/>
      <c r="D472" s="4" t="n"/>
    </row>
    <row r="473">
      <c r="A473" s="6">
        <f>IFERROR(VLOOKUP($B473,Company_Cat!$B$2:$E$623,2,FALSE),"")</f>
        <v/>
      </c>
      <c r="B473" s="4" t="n"/>
      <c r="C473" s="4" t="n"/>
      <c r="D473" s="4" t="n"/>
    </row>
    <row r="474">
      <c r="A474" s="6">
        <f>IFERROR(VLOOKUP($B474,Company_Cat!$B$2:$E$623,2,FALSE),"")</f>
        <v/>
      </c>
      <c r="B474" s="4" t="n"/>
      <c r="C474" s="4" t="n"/>
      <c r="D474" s="4" t="n"/>
    </row>
    <row r="475">
      <c r="A475" s="6">
        <f>IFERROR(VLOOKUP($B475,Company_Cat!$B$2:$E$623,2,FALSE),"")</f>
        <v/>
      </c>
      <c r="B475" s="4" t="n"/>
      <c r="C475" s="4" t="n"/>
      <c r="D475" s="4" t="n"/>
    </row>
    <row r="476">
      <c r="A476" s="6">
        <f>IFERROR(VLOOKUP($B476,Company_Cat!$B$2:$E$623,2,FALSE),"")</f>
        <v/>
      </c>
      <c r="B476" s="4" t="n"/>
      <c r="C476" s="4" t="n"/>
      <c r="D476" s="4" t="n"/>
    </row>
    <row r="477">
      <c r="A477" s="6">
        <f>IFERROR(VLOOKUP($B477,Company_Cat!$B$2:$E$623,2,FALSE),"")</f>
        <v/>
      </c>
      <c r="B477" s="4" t="n"/>
      <c r="C477" s="4" t="n"/>
      <c r="D477" s="4" t="n"/>
    </row>
    <row r="478">
      <c r="A478" s="6">
        <f>IFERROR(VLOOKUP($B478,Company_Cat!$B$2:$E$623,2,FALSE),"")</f>
        <v/>
      </c>
      <c r="B478" s="4" t="n"/>
      <c r="C478" s="4" t="n"/>
      <c r="D478" s="4" t="n"/>
    </row>
    <row r="479">
      <c r="A479" s="6">
        <f>IFERROR(VLOOKUP($B479,Company_Cat!$B$2:$E$623,2,FALSE),"")</f>
        <v/>
      </c>
      <c r="B479" s="4" t="n"/>
      <c r="C479" s="4" t="n"/>
      <c r="D479" s="4" t="n"/>
    </row>
    <row r="480">
      <c r="A480" s="6">
        <f>IFERROR(VLOOKUP($B480,Company_Cat!$B$2:$E$623,2,FALSE),"")</f>
        <v/>
      </c>
      <c r="B480" s="4" t="n"/>
      <c r="C480" s="4" t="n"/>
      <c r="D480" s="4" t="n"/>
    </row>
    <row r="481">
      <c r="A481" s="6">
        <f>IFERROR(VLOOKUP($B481,Company_Cat!$B$2:$E$623,2,FALSE),"")</f>
        <v/>
      </c>
      <c r="B481" s="4" t="n"/>
      <c r="C481" s="4" t="n"/>
      <c r="D481" s="4" t="n"/>
    </row>
    <row r="482">
      <c r="A482" s="6">
        <f>IFERROR(VLOOKUP($B482,Company_Cat!$B$2:$E$623,2,FALSE),"")</f>
        <v/>
      </c>
      <c r="B482" s="4" t="n"/>
      <c r="C482" s="4" t="n"/>
      <c r="D482" s="4" t="n"/>
    </row>
    <row r="483">
      <c r="A483" s="6">
        <f>IFERROR(VLOOKUP($B483,Company_Cat!$B$2:$E$623,2,FALSE),"")</f>
        <v/>
      </c>
      <c r="B483" s="4" t="n"/>
      <c r="C483" s="4" t="n"/>
      <c r="D483" s="4" t="n"/>
    </row>
    <row r="484">
      <c r="A484" s="6">
        <f>IFERROR(VLOOKUP($B484,Company_Cat!$B$2:$E$623,2,FALSE),"")</f>
        <v/>
      </c>
      <c r="B484" s="4" t="n"/>
      <c r="C484" s="4" t="n"/>
      <c r="D484" s="4" t="n"/>
    </row>
    <row r="485">
      <c r="A485" s="6">
        <f>IFERROR(VLOOKUP($B485,Company_Cat!$B$2:$E$623,2,FALSE),"")</f>
        <v/>
      </c>
      <c r="B485" s="4" t="n"/>
      <c r="C485" s="4" t="n"/>
      <c r="D485" s="4" t="n"/>
    </row>
    <row r="486">
      <c r="A486" s="6">
        <f>IFERROR(VLOOKUP($B486,Company_Cat!$B$2:$E$623,2,FALSE),"")</f>
        <v/>
      </c>
      <c r="B486" s="4" t="n"/>
      <c r="C486" s="4" t="n"/>
      <c r="D486" s="4" t="n"/>
    </row>
    <row r="487">
      <c r="A487" s="6">
        <f>IFERROR(VLOOKUP($B487,Company_Cat!$B$2:$E$623,2,FALSE),"")</f>
        <v/>
      </c>
      <c r="B487" s="4" t="n"/>
      <c r="C487" s="4" t="n"/>
      <c r="D487" s="4" t="n"/>
    </row>
    <row r="488">
      <c r="A488" s="6">
        <f>IFERROR(VLOOKUP($B488,Company_Cat!$B$2:$E$623,2,FALSE),"")</f>
        <v/>
      </c>
      <c r="B488" s="4" t="n"/>
      <c r="C488" s="4" t="n"/>
      <c r="D488" s="4" t="n"/>
    </row>
    <row r="489">
      <c r="A489" s="6">
        <f>IFERROR(VLOOKUP($B489,Company_Cat!$B$2:$E$623,2,FALSE),"")</f>
        <v/>
      </c>
      <c r="B489" s="4" t="n"/>
      <c r="C489" s="4" t="n"/>
      <c r="D489" s="4" t="n"/>
    </row>
    <row r="490">
      <c r="A490" s="6">
        <f>IFERROR(VLOOKUP($B490,Company_Cat!$B$2:$E$623,2,FALSE),"")</f>
        <v/>
      </c>
      <c r="B490" s="4" t="n"/>
      <c r="C490" s="4" t="n"/>
      <c r="D490" s="4" t="n"/>
    </row>
    <row r="491">
      <c r="A491" s="6">
        <f>IFERROR(VLOOKUP($B491,Company_Cat!$B$2:$E$623,2,FALSE),"")</f>
        <v/>
      </c>
      <c r="B491" s="4" t="n"/>
      <c r="C491" s="4" t="n"/>
      <c r="D491" s="4" t="n"/>
    </row>
    <row r="492">
      <c r="A492" s="6">
        <f>IFERROR(VLOOKUP($B492,Company_Cat!$B$2:$E$623,2,FALSE),"")</f>
        <v/>
      </c>
      <c r="B492" s="4" t="n"/>
      <c r="C492" s="4" t="n"/>
      <c r="D492" s="4" t="n"/>
    </row>
    <row r="493">
      <c r="A493" s="6">
        <f>IFERROR(VLOOKUP($B493,Company_Cat!$B$2:$E$623,2,FALSE),"")</f>
        <v/>
      </c>
      <c r="B493" s="4" t="n"/>
      <c r="C493" s="4" t="n"/>
      <c r="D493" s="4" t="n"/>
    </row>
    <row r="494">
      <c r="A494" s="6">
        <f>IFERROR(VLOOKUP($B494,Company_Cat!$B$2:$E$623,2,FALSE),"")</f>
        <v/>
      </c>
      <c r="B494" s="4" t="n"/>
      <c r="C494" s="4" t="n"/>
      <c r="D494" s="4" t="n"/>
    </row>
    <row r="495">
      <c r="A495" s="6">
        <f>IFERROR(VLOOKUP($B495,Company_Cat!$B$2:$E$623,2,FALSE),"")</f>
        <v/>
      </c>
      <c r="B495" s="4" t="n"/>
      <c r="C495" s="4" t="n"/>
      <c r="D495" s="4" t="n"/>
    </row>
    <row r="496">
      <c r="A496" s="6">
        <f>IFERROR(VLOOKUP($B496,Company_Cat!$B$2:$E$623,2,FALSE),"")</f>
        <v/>
      </c>
      <c r="B496" s="4" t="n"/>
      <c r="C496" s="4" t="n"/>
      <c r="D496" s="4" t="n"/>
    </row>
    <row r="497">
      <c r="A497" s="6">
        <f>IFERROR(VLOOKUP($B497,Company_Cat!$B$2:$E$623,2,FALSE),"")</f>
        <v/>
      </c>
      <c r="B497" s="4" t="n"/>
      <c r="C497" s="4" t="n"/>
      <c r="D497" s="4" t="n"/>
    </row>
    <row r="498">
      <c r="A498" s="6">
        <f>IFERROR(VLOOKUP($B498,Company_Cat!$B$2:$E$623,2,FALSE),"")</f>
        <v/>
      </c>
      <c r="B498" s="4" t="n"/>
      <c r="C498" s="4" t="n"/>
      <c r="D498" s="4" t="n"/>
    </row>
    <row r="499">
      <c r="A499" s="6">
        <f>IFERROR(VLOOKUP($B499,Company_Cat!$B$2:$E$623,2,FALSE),"")</f>
        <v/>
      </c>
      <c r="B499" s="4" t="n"/>
      <c r="C499" s="4" t="n"/>
      <c r="D499" s="4" t="n"/>
    </row>
    <row r="500">
      <c r="A500" s="6">
        <f>IFERROR(VLOOKUP($B500,Company_Cat!$B$2:$E$623,2,FALSE),"")</f>
        <v/>
      </c>
      <c r="B500" s="4" t="n"/>
      <c r="C500" s="4" t="n"/>
      <c r="D500" s="4" t="n"/>
    </row>
    <row r="501">
      <c r="A501" s="6">
        <f>IFERROR(VLOOKUP($B501,Company_Cat!$B$2:$E$623,2,FALSE),"")</f>
        <v/>
      </c>
      <c r="B501" s="4" t="n"/>
      <c r="C501" s="4" t="n"/>
      <c r="D501" s="4" t="n"/>
    </row>
    <row r="502">
      <c r="A502" s="6">
        <f>IFERROR(VLOOKUP($B502,Company_Cat!$B$2:$E$623,2,FALSE),"")</f>
        <v/>
      </c>
      <c r="B502" s="4" t="n"/>
      <c r="C502" s="4" t="n"/>
      <c r="D502" s="4" t="n"/>
    </row>
    <row r="503">
      <c r="A503" s="6">
        <f>IFERROR(VLOOKUP($B503,Company_Cat!$B$2:$E$623,2,FALSE),"")</f>
        <v/>
      </c>
      <c r="B503" s="4" t="n"/>
      <c r="C503" s="4" t="n"/>
      <c r="D503" s="4" t="n"/>
    </row>
    <row r="504">
      <c r="A504" s="6">
        <f>IFERROR(VLOOKUP($B504,Company_Cat!$B$2:$E$623,2,FALSE),"")</f>
        <v/>
      </c>
      <c r="B504" s="4" t="n"/>
      <c r="C504" s="4" t="n"/>
      <c r="D504" s="4" t="n"/>
    </row>
    <row r="505">
      <c r="A505" s="6">
        <f>IFERROR(VLOOKUP($B505,Company_Cat!$B$2:$E$623,2,FALSE),"")</f>
        <v/>
      </c>
      <c r="B505" s="4" t="n"/>
      <c r="C505" s="4" t="n"/>
      <c r="D505" s="4" t="n"/>
    </row>
    <row r="506">
      <c r="A506" s="6">
        <f>IFERROR(VLOOKUP($B506,Company_Cat!$B$2:$E$623,2,FALSE),"")</f>
        <v/>
      </c>
      <c r="B506" s="4" t="n"/>
      <c r="C506" s="4" t="n"/>
      <c r="D506" s="4" t="n"/>
    </row>
    <row r="507">
      <c r="A507" s="6">
        <f>IFERROR(VLOOKUP($B507,Company_Cat!$B$2:$E$623,2,FALSE),"")</f>
        <v/>
      </c>
      <c r="B507" s="4" t="n"/>
      <c r="C507" s="4" t="n"/>
      <c r="D507" s="4" t="n"/>
    </row>
    <row r="508">
      <c r="A508" s="6">
        <f>IFERROR(VLOOKUP($B508,Company_Cat!$B$2:$E$623,2,FALSE),"")</f>
        <v/>
      </c>
      <c r="B508" s="4" t="n"/>
      <c r="C508" s="4" t="n"/>
      <c r="D508" s="4" t="n"/>
    </row>
    <row r="509">
      <c r="A509" s="6">
        <f>IFERROR(VLOOKUP($B509,Company_Cat!$B$2:$E$623,2,FALSE),"")</f>
        <v/>
      </c>
      <c r="B509" s="4" t="n"/>
      <c r="C509" s="4" t="n"/>
      <c r="D509" s="4" t="n"/>
    </row>
    <row r="510">
      <c r="A510" s="6">
        <f>IFERROR(VLOOKUP($B510,Company_Cat!$B$2:$E$623,2,FALSE),"")</f>
        <v/>
      </c>
      <c r="B510" s="4" t="n"/>
      <c r="C510" s="4" t="n"/>
      <c r="D510" s="4" t="n"/>
    </row>
    <row r="511">
      <c r="A511" s="6">
        <f>IFERROR(VLOOKUP($B511,Company_Cat!$B$2:$E$623,2,FALSE),"")</f>
        <v/>
      </c>
      <c r="B511" s="4" t="n"/>
      <c r="C511" s="4" t="n"/>
      <c r="D511" s="4" t="n"/>
    </row>
    <row r="512">
      <c r="A512" s="6">
        <f>IFERROR(VLOOKUP($B512,Company_Cat!$B$2:$E$623,2,FALSE),"")</f>
        <v/>
      </c>
      <c r="B512" s="4" t="n"/>
      <c r="C512" s="4" t="n"/>
      <c r="D512" s="4" t="n"/>
    </row>
    <row r="513">
      <c r="A513" s="6">
        <f>IFERROR(VLOOKUP($B513,Company_Cat!$B$2:$E$623,2,FALSE),"")</f>
        <v/>
      </c>
      <c r="B513" s="4" t="n"/>
      <c r="C513" s="4" t="n"/>
      <c r="D513" s="4" t="n"/>
    </row>
    <row r="514">
      <c r="A514" s="6">
        <f>IFERROR(VLOOKUP($B514,Company_Cat!$B$2:$E$623,2,FALSE),"")</f>
        <v/>
      </c>
      <c r="B514" s="4" t="n"/>
      <c r="C514" s="4" t="n"/>
      <c r="D514" s="4" t="n"/>
    </row>
    <row r="515">
      <c r="A515" s="6">
        <f>IFERROR(VLOOKUP($B515,Company_Cat!$B$2:$E$623,2,FALSE),"")</f>
        <v/>
      </c>
      <c r="B515" s="4" t="n"/>
      <c r="C515" s="4" t="n"/>
      <c r="D515" s="4" t="n"/>
    </row>
    <row r="516">
      <c r="A516" s="6">
        <f>IFERROR(VLOOKUP($B516,Company_Cat!$B$2:$E$623,2,FALSE),"")</f>
        <v/>
      </c>
      <c r="B516" s="4" t="n"/>
      <c r="C516" s="4" t="n"/>
      <c r="D516" s="4" t="n"/>
    </row>
    <row r="517">
      <c r="A517" s="6">
        <f>IFERROR(VLOOKUP($B517,Company_Cat!$B$2:$E$623,2,FALSE),"")</f>
        <v/>
      </c>
      <c r="B517" s="4" t="n"/>
      <c r="C517" s="4" t="n"/>
      <c r="D517" s="4" t="n"/>
    </row>
    <row r="518">
      <c r="A518" s="6">
        <f>IFERROR(VLOOKUP($B518,Company_Cat!$B$2:$E$623,2,FALSE),"")</f>
        <v/>
      </c>
      <c r="B518" s="4" t="n"/>
      <c r="C518" s="4" t="n"/>
      <c r="D518" s="4" t="n"/>
    </row>
    <row r="519">
      <c r="A519" s="6">
        <f>IFERROR(VLOOKUP($B519,Company_Cat!$B$2:$E$623,2,FALSE),"")</f>
        <v/>
      </c>
      <c r="B519" s="4" t="n"/>
      <c r="C519" s="4" t="n"/>
      <c r="D519" s="4" t="n"/>
    </row>
    <row r="520">
      <c r="A520" s="6">
        <f>IFERROR(VLOOKUP($B520,Company_Cat!$B$2:$E$623,2,FALSE),"")</f>
        <v/>
      </c>
      <c r="B520" s="4" t="n"/>
      <c r="C520" s="4" t="n"/>
      <c r="D520" s="4" t="n"/>
    </row>
    <row r="521">
      <c r="A521" s="6">
        <f>IFERROR(VLOOKUP($B521,Company_Cat!$B$2:$E$623,2,FALSE),"")</f>
        <v/>
      </c>
      <c r="B521" s="4" t="n"/>
      <c r="C521" s="4" t="n"/>
      <c r="D521" s="4" t="n"/>
    </row>
    <row r="522">
      <c r="A522" s="6">
        <f>IFERROR(VLOOKUP($B522,Company_Cat!$B$2:$E$623,2,FALSE),"")</f>
        <v/>
      </c>
      <c r="B522" s="4" t="n"/>
      <c r="C522" s="4" t="n"/>
      <c r="D522" s="4" t="n"/>
    </row>
    <row r="523">
      <c r="A523" s="6">
        <f>IFERROR(VLOOKUP($B523,Company_Cat!$B$2:$E$623,2,FALSE),"")</f>
        <v/>
      </c>
      <c r="B523" s="4" t="n"/>
      <c r="C523" s="4" t="n"/>
      <c r="D523" s="4" t="n"/>
    </row>
    <row r="524">
      <c r="A524" s="6">
        <f>IFERROR(VLOOKUP($B524,Company_Cat!$B$2:$E$623,2,FALSE),"")</f>
        <v/>
      </c>
      <c r="B524" s="4" t="n"/>
      <c r="C524" s="4" t="n"/>
      <c r="D524" s="4" t="n"/>
    </row>
    <row r="525">
      <c r="A525" s="6">
        <f>IFERROR(VLOOKUP($B525,Company_Cat!$B$2:$E$623,2,FALSE),"")</f>
        <v/>
      </c>
      <c r="B525" s="4" t="n"/>
      <c r="C525" s="4" t="n"/>
      <c r="D525" s="4" t="n"/>
    </row>
    <row r="526">
      <c r="A526" s="6">
        <f>IFERROR(VLOOKUP($B526,Company_Cat!$B$2:$E$623,2,FALSE),"")</f>
        <v/>
      </c>
      <c r="B526" s="4" t="n"/>
      <c r="C526" s="4" t="n"/>
      <c r="D526" s="4" t="n"/>
    </row>
    <row r="527">
      <c r="A527" s="6">
        <f>IFERROR(VLOOKUP($B527,Company_Cat!$B$2:$E$623,2,FALSE),"")</f>
        <v/>
      </c>
      <c r="B527" s="4" t="n"/>
      <c r="C527" s="4" t="n"/>
      <c r="D527" s="4" t="n"/>
    </row>
    <row r="528">
      <c r="A528" s="6">
        <f>IFERROR(VLOOKUP($B528,Company_Cat!$B$2:$E$623,2,FALSE),"")</f>
        <v/>
      </c>
      <c r="B528" s="4" t="n"/>
      <c r="C528" s="4" t="n"/>
      <c r="D528" s="4" t="n"/>
    </row>
    <row r="529">
      <c r="A529" s="6">
        <f>IFERROR(VLOOKUP($B529,Company_Cat!$B$2:$E$623,2,FALSE),"")</f>
        <v/>
      </c>
      <c r="B529" s="4" t="n"/>
      <c r="C529" s="4" t="n"/>
      <c r="D529" s="4" t="n"/>
    </row>
    <row r="530">
      <c r="A530" s="6">
        <f>IFERROR(VLOOKUP($B530,Company_Cat!$B$2:$E$623,2,FALSE),"")</f>
        <v/>
      </c>
      <c r="B530" s="4" t="n"/>
      <c r="C530" s="4" t="n"/>
      <c r="D530" s="4" t="n"/>
    </row>
    <row r="531">
      <c r="A531" s="6">
        <f>IFERROR(VLOOKUP($B531,Company_Cat!$B$2:$E$623,2,FALSE),"")</f>
        <v/>
      </c>
      <c r="B531" s="4" t="n"/>
      <c r="C531" s="4" t="n"/>
      <c r="D531" s="4" t="n"/>
    </row>
    <row r="532">
      <c r="A532" s="6">
        <f>IFERROR(VLOOKUP($B532,Company_Cat!$B$2:$E$623,2,FALSE),"")</f>
        <v/>
      </c>
      <c r="B532" s="4" t="n"/>
      <c r="C532" s="4" t="n"/>
      <c r="D532" s="4" t="n"/>
    </row>
    <row r="533">
      <c r="A533" s="6">
        <f>IFERROR(VLOOKUP($B533,Company_Cat!$B$2:$E$623,2,FALSE),"")</f>
        <v/>
      </c>
      <c r="B533" s="4" t="n"/>
      <c r="C533" s="4" t="n"/>
      <c r="D533" s="4" t="n"/>
    </row>
    <row r="534">
      <c r="A534" s="6">
        <f>IFERROR(VLOOKUP($B534,Company_Cat!$B$2:$E$623,2,FALSE),"")</f>
        <v/>
      </c>
      <c r="B534" s="4" t="n"/>
      <c r="C534" s="4" t="n"/>
      <c r="D534" s="4" t="n"/>
    </row>
    <row r="535">
      <c r="A535" s="6">
        <f>IFERROR(VLOOKUP($B535,Company_Cat!$B$2:$E$623,2,FALSE),"")</f>
        <v/>
      </c>
      <c r="B535" s="4" t="n"/>
      <c r="C535" s="4" t="n"/>
      <c r="D535" s="4" t="n"/>
    </row>
    <row r="536">
      <c r="A536" s="6">
        <f>IFERROR(VLOOKUP($B536,Company_Cat!$B$2:$E$623,2,FALSE),"")</f>
        <v/>
      </c>
      <c r="B536" s="4" t="n"/>
      <c r="C536" s="4" t="n"/>
      <c r="D536" s="4" t="n"/>
    </row>
    <row r="537">
      <c r="A537" s="6">
        <f>IFERROR(VLOOKUP($B537,Company_Cat!$B$2:$E$623,2,FALSE),"")</f>
        <v/>
      </c>
      <c r="B537" s="4" t="n"/>
      <c r="C537" s="4" t="n"/>
      <c r="D537" s="4" t="n"/>
    </row>
    <row r="538">
      <c r="A538" s="6">
        <f>IFERROR(VLOOKUP($B538,Company_Cat!$B$2:$E$623,2,FALSE),"")</f>
        <v/>
      </c>
      <c r="B538" s="4" t="n"/>
      <c r="C538" s="4" t="n"/>
      <c r="D538" s="4" t="n"/>
    </row>
    <row r="539">
      <c r="A539" s="6">
        <f>IFERROR(VLOOKUP($B539,Company_Cat!$B$2:$E$623,2,FALSE),"")</f>
        <v/>
      </c>
      <c r="B539" s="4" t="n"/>
      <c r="C539" s="4" t="n"/>
      <c r="D539" s="4" t="n"/>
    </row>
    <row r="540">
      <c r="A540" s="6">
        <f>IFERROR(VLOOKUP($B540,Company_Cat!$B$2:$E$623,2,FALSE),"")</f>
        <v/>
      </c>
      <c r="B540" s="4" t="n"/>
      <c r="C540" s="4" t="n"/>
      <c r="D540" s="4" t="n"/>
    </row>
    <row r="541">
      <c r="A541" s="6">
        <f>IFERROR(VLOOKUP($B541,Company_Cat!$B$2:$E$623,2,FALSE),"")</f>
        <v/>
      </c>
      <c r="B541" s="4" t="n"/>
      <c r="C541" s="4" t="n"/>
      <c r="D541" s="4" t="n"/>
    </row>
    <row r="542">
      <c r="A542" s="6">
        <f>IFERROR(VLOOKUP($B542,Company_Cat!$B$2:$E$623,2,FALSE),"")</f>
        <v/>
      </c>
      <c r="B542" s="4" t="n"/>
      <c r="C542" s="4" t="n"/>
      <c r="D542" s="4" t="n"/>
    </row>
    <row r="543">
      <c r="A543" s="6">
        <f>IFERROR(VLOOKUP($B543,Company_Cat!$B$2:$E$623,2,FALSE),"")</f>
        <v/>
      </c>
      <c r="B543" s="4" t="n"/>
      <c r="C543" s="4" t="n"/>
      <c r="D543" s="4" t="n"/>
    </row>
    <row r="544">
      <c r="A544" s="6">
        <f>IFERROR(VLOOKUP($B544,Company_Cat!$B$2:$E$623,2,FALSE),"")</f>
        <v/>
      </c>
      <c r="B544" s="4" t="n"/>
      <c r="C544" s="4" t="n"/>
      <c r="D544" s="4" t="n"/>
    </row>
    <row r="545">
      <c r="A545" s="6">
        <f>IFERROR(VLOOKUP($B545,Company_Cat!$B$2:$E$623,2,FALSE),"")</f>
        <v/>
      </c>
      <c r="B545" s="4" t="n"/>
      <c r="C545" s="4" t="n"/>
      <c r="D545" s="4" t="n"/>
    </row>
    <row r="546">
      <c r="A546" s="6">
        <f>IFERROR(VLOOKUP($B546,Company_Cat!$B$2:$E$623,2,FALSE),"")</f>
        <v/>
      </c>
      <c r="B546" s="4" t="n"/>
      <c r="C546" s="4" t="n"/>
      <c r="D546" s="4" t="n"/>
    </row>
    <row r="547">
      <c r="A547" s="6">
        <f>IFERROR(VLOOKUP($B547,Company_Cat!$B$2:$E$623,2,FALSE),"")</f>
        <v/>
      </c>
      <c r="B547" s="4" t="n"/>
      <c r="C547" s="4" t="n"/>
      <c r="D547" s="4" t="n"/>
    </row>
    <row r="548">
      <c r="A548" s="6">
        <f>IFERROR(VLOOKUP($B548,Company_Cat!$B$2:$E$623,2,FALSE),"")</f>
        <v/>
      </c>
      <c r="B548" s="4" t="n"/>
      <c r="C548" s="4" t="n"/>
      <c r="D548" s="4" t="n"/>
    </row>
    <row r="549">
      <c r="A549" s="6">
        <f>IFERROR(VLOOKUP($B549,Company_Cat!$B$2:$E$623,2,FALSE),"")</f>
        <v/>
      </c>
      <c r="B549" s="4" t="n"/>
      <c r="C549" s="4" t="n"/>
      <c r="D549" s="4" t="n"/>
    </row>
    <row r="550">
      <c r="A550" s="6">
        <f>IFERROR(VLOOKUP($B550,Company_Cat!$B$2:$E$623,2,FALSE),"")</f>
        <v/>
      </c>
      <c r="B550" s="4" t="n"/>
      <c r="C550" s="4" t="n"/>
      <c r="D550" s="4" t="n"/>
    </row>
    <row r="551">
      <c r="A551" s="6">
        <f>IFERROR(VLOOKUP($B551,Company_Cat!$B$2:$E$623,2,FALSE),"")</f>
        <v/>
      </c>
      <c r="B551" s="4" t="n"/>
      <c r="C551" s="4" t="n"/>
      <c r="D551" s="4" t="n"/>
    </row>
    <row r="552">
      <c r="A552" s="6">
        <f>IFERROR(VLOOKUP($B552,Company_Cat!$B$2:$E$623,2,FALSE),"")</f>
        <v/>
      </c>
      <c r="B552" s="4" t="n"/>
      <c r="C552" s="4" t="n"/>
      <c r="D552" s="4" t="n"/>
    </row>
    <row r="553">
      <c r="A553" s="6">
        <f>IFERROR(VLOOKUP($B553,Company_Cat!$B$2:$E$623,2,FALSE),"")</f>
        <v/>
      </c>
      <c r="B553" s="4" t="n"/>
      <c r="C553" s="4" t="n"/>
      <c r="D553" s="4" t="n"/>
    </row>
    <row r="554">
      <c r="A554" s="6">
        <f>IFERROR(VLOOKUP($B554,Company_Cat!$B$2:$E$623,2,FALSE),"")</f>
        <v/>
      </c>
      <c r="B554" s="4" t="n"/>
      <c r="C554" s="4" t="n"/>
      <c r="D554" s="4" t="n"/>
    </row>
    <row r="555">
      <c r="A555" s="6">
        <f>IFERROR(VLOOKUP($B555,Company_Cat!$B$2:$E$623,2,FALSE),"")</f>
        <v/>
      </c>
      <c r="B555" s="4" t="n"/>
      <c r="C555" s="4" t="n"/>
      <c r="D555" s="4" t="n"/>
    </row>
    <row r="556">
      <c r="A556" s="6">
        <f>IFERROR(VLOOKUP($B556,Company_Cat!$B$2:$E$623,2,FALSE),"")</f>
        <v/>
      </c>
      <c r="B556" s="4" t="n"/>
      <c r="C556" s="4" t="n"/>
      <c r="D556" s="4" t="n"/>
    </row>
    <row r="557">
      <c r="A557" s="6">
        <f>IFERROR(VLOOKUP($B557,Company_Cat!$B$2:$E$623,2,FALSE),"")</f>
        <v/>
      </c>
      <c r="B557" s="4" t="n"/>
      <c r="C557" s="4" t="n"/>
      <c r="D557" s="4" t="n"/>
    </row>
    <row r="558">
      <c r="A558" s="6">
        <f>IFERROR(VLOOKUP($B558,Company_Cat!$B$2:$E$623,2,FALSE),"")</f>
        <v/>
      </c>
      <c r="B558" s="4" t="n"/>
      <c r="C558" s="4" t="n"/>
      <c r="D558" s="4" t="n"/>
    </row>
    <row r="559">
      <c r="A559" s="6">
        <f>IFERROR(VLOOKUP($B559,Company_Cat!$B$2:$E$623,2,FALSE),"")</f>
        <v/>
      </c>
      <c r="B559" s="4" t="n"/>
      <c r="C559" s="4" t="n"/>
      <c r="D559" s="4" t="n"/>
    </row>
    <row r="560">
      <c r="A560" s="6">
        <f>IFERROR(VLOOKUP($B560,Company_Cat!$B$2:$E$623,2,FALSE),"")</f>
        <v/>
      </c>
      <c r="B560" s="4" t="n"/>
      <c r="C560" s="4" t="n"/>
      <c r="D560" s="4" t="n"/>
    </row>
    <row r="561">
      <c r="A561" s="6">
        <f>IFERROR(VLOOKUP($B561,Company_Cat!$B$2:$E$623,2,FALSE),"")</f>
        <v/>
      </c>
      <c r="B561" s="4" t="n"/>
      <c r="C561" s="4" t="n"/>
      <c r="D561" s="4" t="n"/>
    </row>
    <row r="562">
      <c r="A562" s="6">
        <f>IFERROR(VLOOKUP($B562,Company_Cat!$B$2:$E$623,2,FALSE),"")</f>
        <v/>
      </c>
      <c r="B562" s="4" t="n"/>
      <c r="C562" s="4" t="n"/>
      <c r="D562" s="4" t="n"/>
    </row>
    <row r="563">
      <c r="A563" s="6">
        <f>IFERROR(VLOOKUP($B563,Company_Cat!$B$2:$E$623,2,FALSE),"")</f>
        <v/>
      </c>
      <c r="B563" s="4" t="n"/>
      <c r="C563" s="4" t="n"/>
      <c r="D563" s="4" t="n"/>
    </row>
    <row r="564">
      <c r="A564" s="6">
        <f>IFERROR(VLOOKUP($B564,Company_Cat!$B$2:$E$623,2,FALSE),"")</f>
        <v/>
      </c>
      <c r="B564" s="4" t="n"/>
      <c r="C564" s="4" t="n"/>
      <c r="D564" s="4" t="n"/>
    </row>
    <row r="565">
      <c r="A565" s="6">
        <f>IFERROR(VLOOKUP($B565,Company_Cat!$B$2:$E$623,2,FALSE),"")</f>
        <v/>
      </c>
      <c r="B565" s="4" t="n"/>
      <c r="C565" s="4" t="n"/>
      <c r="D565" s="4" t="n"/>
    </row>
    <row r="566">
      <c r="A566" s="6">
        <f>IFERROR(VLOOKUP($B566,Company_Cat!$B$2:$E$623,2,FALSE),"")</f>
        <v/>
      </c>
      <c r="B566" s="4" t="n"/>
      <c r="C566" s="4" t="n"/>
      <c r="D566" s="4" t="n"/>
    </row>
    <row r="567">
      <c r="A567" s="6">
        <f>IFERROR(VLOOKUP($B567,Company_Cat!$B$2:$E$623,2,FALSE),"")</f>
        <v/>
      </c>
      <c r="B567" s="4" t="n"/>
      <c r="C567" s="4" t="n"/>
      <c r="D567" s="4" t="n"/>
    </row>
    <row r="568">
      <c r="A568" s="6">
        <f>IFERROR(VLOOKUP($B568,Company_Cat!$B$2:$E$623,2,FALSE),"")</f>
        <v/>
      </c>
      <c r="B568" s="4" t="n"/>
      <c r="C568" s="4" t="n"/>
      <c r="D568" s="4" t="n"/>
    </row>
    <row r="569">
      <c r="A569" s="6">
        <f>IFERROR(VLOOKUP($B569,Company_Cat!$B$2:$E$623,2,FALSE),"")</f>
        <v/>
      </c>
      <c r="B569" s="4" t="n"/>
      <c r="C569" s="4" t="n"/>
      <c r="D569" s="4" t="n"/>
    </row>
    <row r="570">
      <c r="A570" s="6">
        <f>IFERROR(VLOOKUP($B570,Company_Cat!$B$2:$E$623,2,FALSE),"")</f>
        <v/>
      </c>
      <c r="B570" s="4" t="n"/>
      <c r="C570" s="4" t="n"/>
      <c r="D570" s="4" t="n"/>
    </row>
    <row r="571">
      <c r="A571" s="6">
        <f>IFERROR(VLOOKUP($B571,Company_Cat!$B$2:$E$623,2,FALSE),"")</f>
        <v/>
      </c>
      <c r="B571" s="4" t="n"/>
      <c r="C571" s="4" t="n"/>
      <c r="D571" s="4" t="n"/>
    </row>
    <row r="572">
      <c r="A572" s="6">
        <f>IFERROR(VLOOKUP($B572,Company_Cat!$B$2:$E$623,2,FALSE),"")</f>
        <v/>
      </c>
      <c r="B572" s="4" t="n"/>
      <c r="C572" s="4" t="n"/>
      <c r="D572" s="4" t="n"/>
    </row>
    <row r="573">
      <c r="A573" s="6">
        <f>IFERROR(VLOOKUP($B573,Company_Cat!$B$2:$E$623,2,FALSE),"")</f>
        <v/>
      </c>
      <c r="B573" s="4" t="n"/>
      <c r="C573" s="4" t="n"/>
      <c r="D573" s="4" t="n"/>
    </row>
    <row r="574">
      <c r="A574" s="6">
        <f>IFERROR(VLOOKUP($B574,Company_Cat!$B$2:$E$623,2,FALSE),"")</f>
        <v/>
      </c>
      <c r="B574" s="4" t="n"/>
      <c r="C574" s="4" t="n"/>
      <c r="D574" s="4" t="n"/>
    </row>
    <row r="575">
      <c r="A575" s="6">
        <f>IFERROR(VLOOKUP($B575,Company_Cat!$B$2:$E$623,2,FALSE),"")</f>
        <v/>
      </c>
      <c r="B575" s="4" t="n"/>
      <c r="C575" s="4" t="n"/>
      <c r="D575" s="4" t="n"/>
    </row>
    <row r="576">
      <c r="A576" s="6">
        <f>IFERROR(VLOOKUP($B576,Company_Cat!$B$2:$E$623,2,FALSE),"")</f>
        <v/>
      </c>
      <c r="B576" s="4" t="n"/>
      <c r="C576" s="4" t="n"/>
      <c r="D576" s="4" t="n"/>
    </row>
    <row r="577">
      <c r="A577" s="6">
        <f>IFERROR(VLOOKUP($B577,Company_Cat!$B$2:$E$623,2,FALSE),"")</f>
        <v/>
      </c>
      <c r="B577" s="4" t="n"/>
      <c r="C577" s="4" t="n"/>
      <c r="D577" s="4" t="n"/>
    </row>
    <row r="578">
      <c r="A578" s="6">
        <f>IFERROR(VLOOKUP($B578,Company_Cat!$B$2:$E$623,2,FALSE),"")</f>
        <v/>
      </c>
      <c r="B578" s="4" t="n"/>
      <c r="C578" s="4" t="n"/>
      <c r="D578" s="4" t="n"/>
    </row>
    <row r="579">
      <c r="A579" s="6">
        <f>IFERROR(VLOOKUP($B579,Company_Cat!$B$2:$E$623,2,FALSE),"")</f>
        <v/>
      </c>
      <c r="B579" s="4" t="n"/>
      <c r="C579" s="4" t="n"/>
      <c r="D579" s="4" t="n"/>
    </row>
    <row r="580">
      <c r="A580" s="6">
        <f>IFERROR(VLOOKUP($B580,Company_Cat!$B$2:$E$623,2,FALSE),"")</f>
        <v/>
      </c>
      <c r="B580" s="4" t="n"/>
      <c r="C580" s="4" t="n"/>
      <c r="D580" s="4" t="n"/>
    </row>
    <row r="581">
      <c r="A581" s="6">
        <f>IFERROR(VLOOKUP($B581,Company_Cat!$B$2:$E$623,2,FALSE),"")</f>
        <v/>
      </c>
      <c r="B581" s="4" t="n"/>
      <c r="C581" s="4" t="n"/>
      <c r="D581" s="4" t="n"/>
    </row>
    <row r="582">
      <c r="A582" s="6">
        <f>IFERROR(VLOOKUP($B582,Company_Cat!$B$2:$E$623,2,FALSE),"")</f>
        <v/>
      </c>
      <c r="B582" s="4" t="n"/>
      <c r="C582" s="4" t="n"/>
      <c r="D582" s="4" t="n"/>
    </row>
    <row r="583">
      <c r="A583" s="6">
        <f>IFERROR(VLOOKUP($B583,Company_Cat!$B$2:$E$623,2,FALSE),"")</f>
        <v/>
      </c>
      <c r="B583" s="4" t="n"/>
      <c r="C583" s="4" t="n"/>
      <c r="D583" s="4" t="n"/>
    </row>
    <row r="584">
      <c r="A584" s="6">
        <f>IFERROR(VLOOKUP($B584,Company_Cat!$B$2:$E$623,2,FALSE),"")</f>
        <v/>
      </c>
      <c r="B584" s="4" t="n"/>
      <c r="C584" s="4" t="n"/>
      <c r="D584" s="4" t="n"/>
    </row>
    <row r="585">
      <c r="A585" s="6">
        <f>IFERROR(VLOOKUP($B585,Company_Cat!$B$2:$E$623,2,FALSE),"")</f>
        <v/>
      </c>
      <c r="B585" s="4" t="n"/>
      <c r="C585" s="4" t="n"/>
      <c r="D585" s="4" t="n"/>
    </row>
    <row r="586">
      <c r="A586" s="6">
        <f>IFERROR(VLOOKUP($B586,Company_Cat!$B$2:$E$623,2,FALSE),"")</f>
        <v/>
      </c>
      <c r="B586" s="4" t="n"/>
      <c r="C586" s="4" t="n"/>
      <c r="D586" s="4" t="n"/>
    </row>
    <row r="587">
      <c r="A587" s="6">
        <f>IFERROR(VLOOKUP($B587,Company_Cat!$B$2:$E$623,2,FALSE),"")</f>
        <v/>
      </c>
      <c r="B587" s="4" t="n"/>
      <c r="C587" s="4" t="n"/>
      <c r="D587" s="4" t="n"/>
    </row>
    <row r="588">
      <c r="A588" s="6">
        <f>IFERROR(VLOOKUP($B588,Company_Cat!$B$2:$E$623,2,FALSE),"")</f>
        <v/>
      </c>
      <c r="B588" s="4" t="n"/>
      <c r="C588" s="4" t="n"/>
      <c r="D588" s="4" t="n"/>
    </row>
    <row r="589">
      <c r="A589" s="6">
        <f>IFERROR(VLOOKUP($B589,Company_Cat!$B$2:$E$623,2,FALSE),"")</f>
        <v/>
      </c>
      <c r="B589" s="4" t="n"/>
      <c r="C589" s="4" t="n"/>
      <c r="D589" s="4" t="n"/>
    </row>
    <row r="590">
      <c r="A590" s="6">
        <f>IFERROR(VLOOKUP($B590,Company_Cat!$B$2:$E$623,2,FALSE),"")</f>
        <v/>
      </c>
      <c r="B590" s="4" t="n"/>
      <c r="C590" s="4" t="n"/>
      <c r="D590" s="4" t="n"/>
    </row>
    <row r="591">
      <c r="A591" s="6">
        <f>IFERROR(VLOOKUP($B591,Company_Cat!$B$2:$E$623,2,FALSE),"")</f>
        <v/>
      </c>
      <c r="B591" s="4" t="n"/>
      <c r="C591" s="4" t="n"/>
      <c r="D591" s="4" t="n"/>
    </row>
    <row r="592">
      <c r="A592" s="6">
        <f>IFERROR(VLOOKUP($B592,Company_Cat!$B$2:$E$623,2,FALSE),"")</f>
        <v/>
      </c>
      <c r="B592" s="4" t="n"/>
      <c r="C592" s="4" t="n"/>
      <c r="D592" s="4" t="n"/>
    </row>
    <row r="593">
      <c r="A593" s="6">
        <f>IFERROR(VLOOKUP($B593,Company_Cat!$B$2:$E$623,2,FALSE),"")</f>
        <v/>
      </c>
      <c r="B593" s="4" t="n"/>
      <c r="C593" s="4" t="n"/>
      <c r="D593" s="4" t="n"/>
    </row>
    <row r="594">
      <c r="A594" s="6">
        <f>IFERROR(VLOOKUP($B594,Company_Cat!$B$2:$E$623,2,FALSE),"")</f>
        <v/>
      </c>
      <c r="B594" s="4" t="n"/>
      <c r="C594" s="4" t="n"/>
      <c r="D594" s="4" t="n"/>
    </row>
    <row r="595">
      <c r="A595" s="6">
        <f>IFERROR(VLOOKUP($B595,Company_Cat!$B$2:$E$623,2,FALSE),"")</f>
        <v/>
      </c>
      <c r="B595" s="4" t="n"/>
      <c r="C595" s="4" t="n"/>
      <c r="D595" s="4" t="n"/>
    </row>
    <row r="596">
      <c r="A596" s="6">
        <f>IFERROR(VLOOKUP($B596,Company_Cat!$B$2:$E$623,2,FALSE),"")</f>
        <v/>
      </c>
      <c r="B596" s="4" t="n"/>
      <c r="C596" s="4" t="n"/>
      <c r="D596" s="4" t="n"/>
    </row>
    <row r="597">
      <c r="A597" s="6">
        <f>IFERROR(VLOOKUP($B597,Company_Cat!$B$2:$E$623,2,FALSE),"")</f>
        <v/>
      </c>
      <c r="B597" s="4" t="n"/>
      <c r="C597" s="4" t="n"/>
      <c r="D597" s="4" t="n"/>
    </row>
    <row r="598">
      <c r="A598" s="6">
        <f>IFERROR(VLOOKUP($B598,Company_Cat!$B$2:$E$623,2,FALSE),"")</f>
        <v/>
      </c>
      <c r="B598" s="4" t="n"/>
      <c r="C598" s="4" t="n"/>
      <c r="D598" s="4" t="n"/>
    </row>
    <row r="599">
      <c r="A599" s="6">
        <f>IFERROR(VLOOKUP($B599,Company_Cat!$B$2:$E$623,2,FALSE),"")</f>
        <v/>
      </c>
      <c r="B599" s="4" t="n"/>
      <c r="C599" s="4" t="n"/>
      <c r="D599" s="4" t="n"/>
    </row>
    <row r="600">
      <c r="A600" s="6">
        <f>IFERROR(VLOOKUP($B600,Company_Cat!$B$2:$E$623,2,FALSE),"")</f>
        <v/>
      </c>
      <c r="B600" s="4" t="n"/>
      <c r="C600" s="4" t="n"/>
      <c r="D600" s="4" t="n"/>
    </row>
    <row r="601">
      <c r="A601" s="6">
        <f>IFERROR(VLOOKUP($B601,Company_Cat!$B$2:$E$623,2,FALSE),"")</f>
        <v/>
      </c>
      <c r="B601" s="4" t="n"/>
      <c r="C601" s="4" t="n"/>
      <c r="D601" s="4" t="n"/>
    </row>
    <row r="602">
      <c r="A602" s="6">
        <f>IFERROR(VLOOKUP($B602,Company_Cat!$B$2:$E$623,2,FALSE),"")</f>
        <v/>
      </c>
      <c r="B602" s="4" t="n"/>
      <c r="C602" s="4" t="n"/>
      <c r="D602" s="4" t="n"/>
    </row>
    <row r="603">
      <c r="A603" s="6">
        <f>IFERROR(VLOOKUP($B603,Company_Cat!$B$2:$E$623,2,FALSE),"")</f>
        <v/>
      </c>
      <c r="B603" s="4" t="n"/>
      <c r="C603" s="4" t="n"/>
      <c r="D603" s="4" t="n"/>
    </row>
    <row r="604">
      <c r="A604" s="6">
        <f>IFERROR(VLOOKUP($B604,Company_Cat!$B$2:$E$623,2,FALSE),"")</f>
        <v/>
      </c>
      <c r="B604" s="4" t="n"/>
      <c r="C604" s="4" t="n"/>
      <c r="D604" s="4" t="n"/>
    </row>
    <row r="605">
      <c r="A605" s="6">
        <f>IFERROR(VLOOKUP($B605,Company_Cat!$B$2:$E$623,2,FALSE),"")</f>
        <v/>
      </c>
      <c r="B605" s="4" t="n"/>
      <c r="C605" s="4" t="n"/>
      <c r="D605" s="4" t="n"/>
    </row>
    <row r="606">
      <c r="A606" s="6">
        <f>IFERROR(VLOOKUP($B606,Company_Cat!$B$2:$E$623,2,FALSE),"")</f>
        <v/>
      </c>
      <c r="B606" s="4" t="n"/>
      <c r="C606" s="4" t="n"/>
      <c r="D606" s="4" t="n"/>
    </row>
    <row r="607">
      <c r="A607" s="6">
        <f>IFERROR(VLOOKUP($B607,Company_Cat!$B$2:$E$623,2,FALSE),"")</f>
        <v/>
      </c>
      <c r="B607" s="4" t="n"/>
      <c r="C607" s="4" t="n"/>
      <c r="D607" s="4" t="n"/>
    </row>
    <row r="608">
      <c r="A608" s="6">
        <f>IFERROR(VLOOKUP($B608,Company_Cat!$B$2:$E$623,2,FALSE),"")</f>
        <v/>
      </c>
      <c r="B608" s="4" t="n"/>
      <c r="C608" s="4" t="n"/>
      <c r="D608" s="4" t="n"/>
    </row>
    <row r="609">
      <c r="A609" s="6">
        <f>IFERROR(VLOOKUP($B609,Company_Cat!$B$2:$E$623,2,FALSE),"")</f>
        <v/>
      </c>
      <c r="B609" s="4" t="n"/>
      <c r="C609" s="4" t="n"/>
      <c r="D609" s="4" t="n"/>
    </row>
    <row r="610">
      <c r="A610" s="6">
        <f>IFERROR(VLOOKUP($B610,Company_Cat!$B$2:$E$623,2,FALSE),"")</f>
        <v/>
      </c>
      <c r="B610" s="4" t="n"/>
      <c r="C610" s="4" t="n"/>
      <c r="D610" s="4" t="n"/>
    </row>
    <row r="611">
      <c r="A611" s="6">
        <f>IFERROR(VLOOKUP($B611,Company_Cat!$B$2:$E$623,2,FALSE),"")</f>
        <v/>
      </c>
      <c r="B611" s="4" t="n"/>
      <c r="C611" s="4" t="n"/>
      <c r="D611" s="4" t="n"/>
    </row>
    <row r="612">
      <c r="A612" s="6">
        <f>IFERROR(VLOOKUP($B612,Company_Cat!$B$2:$E$623,2,FALSE),"")</f>
        <v/>
      </c>
      <c r="B612" s="4" t="n"/>
      <c r="C612" s="4" t="n"/>
      <c r="D612" s="4" t="n"/>
    </row>
    <row r="613">
      <c r="A613" s="6">
        <f>IFERROR(VLOOKUP($B613,Company_Cat!$B$2:$E$623,2,FALSE),"")</f>
        <v/>
      </c>
      <c r="B613" s="4" t="n"/>
      <c r="C613" s="4" t="n"/>
      <c r="D613" s="4" t="n"/>
    </row>
    <row r="614">
      <c r="A614" s="6">
        <f>IFERROR(VLOOKUP($B614,Company_Cat!$B$2:$E$623,2,FALSE),"")</f>
        <v/>
      </c>
      <c r="B614" s="4" t="n"/>
      <c r="C614" s="4" t="n"/>
      <c r="D614" s="4" t="n"/>
    </row>
    <row r="615">
      <c r="A615" s="6">
        <f>IFERROR(VLOOKUP($B615,Company_Cat!$B$2:$E$623,2,FALSE),"")</f>
        <v/>
      </c>
      <c r="B615" s="4" t="n"/>
      <c r="C615" s="4" t="n"/>
      <c r="D615" s="4" t="n"/>
    </row>
    <row r="616">
      <c r="A616" s="6">
        <f>IFERROR(VLOOKUP($B616,Company_Cat!$B$2:$E$623,2,FALSE),"")</f>
        <v/>
      </c>
      <c r="B616" s="4" t="n"/>
      <c r="C616" s="4" t="n"/>
      <c r="D616" s="4" t="n"/>
    </row>
    <row r="617">
      <c r="A617" s="6">
        <f>IFERROR(VLOOKUP($B617,Company_Cat!$B$2:$E$623,2,FALSE),"")</f>
        <v/>
      </c>
      <c r="B617" s="4" t="n"/>
      <c r="C617" s="4" t="n"/>
      <c r="D617" s="4" t="n"/>
    </row>
    <row r="618">
      <c r="A618" s="6">
        <f>IFERROR(VLOOKUP($B618,Company_Cat!$B$2:$E$623,2,FALSE),"")</f>
        <v/>
      </c>
      <c r="B618" s="4" t="n"/>
      <c r="C618" s="4" t="n"/>
      <c r="D618" s="4" t="n"/>
    </row>
    <row r="619">
      <c r="A619" s="6">
        <f>IFERROR(VLOOKUP($B619,Company_Cat!$B$2:$E$623,2,FALSE),"")</f>
        <v/>
      </c>
      <c r="B619" s="4" t="n"/>
      <c r="C619" s="4" t="n"/>
      <c r="D619" s="4" t="n"/>
    </row>
    <row r="620">
      <c r="A620" s="6">
        <f>IFERROR(VLOOKUP($B620,Company_Cat!$B$2:$E$623,2,FALSE),"")</f>
        <v/>
      </c>
      <c r="B620" s="4" t="n"/>
      <c r="C620" s="4" t="n"/>
      <c r="D620" s="4" t="n"/>
    </row>
    <row r="621">
      <c r="A621" s="6">
        <f>IFERROR(VLOOKUP($B621,Company_Cat!$B$2:$E$623,2,FALSE),"")</f>
        <v/>
      </c>
      <c r="B621" s="4" t="n"/>
      <c r="C621" s="4" t="n"/>
      <c r="D621" s="4" t="n"/>
    </row>
    <row r="622">
      <c r="A622" s="6">
        <f>IFERROR(VLOOKUP($B622,Company_Cat!$B$2:$E$623,2,FALSE),"")</f>
        <v/>
      </c>
      <c r="B622" s="4" t="n"/>
      <c r="C622" s="4" t="n"/>
      <c r="D622" s="4" t="n"/>
    </row>
    <row r="623">
      <c r="A623" s="6">
        <f>IFERROR(VLOOKUP($B623,Company_Cat!$B$2:$E$623,2,FALSE),"")</f>
        <v/>
      </c>
      <c r="B623" s="4" t="n"/>
      <c r="C623" s="4" t="n"/>
      <c r="D623" s="4" t="n"/>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E1000"/>
  <sheetViews>
    <sheetView workbookViewId="0">
      <selection activeCell="A1" sqref="A1"/>
    </sheetView>
    <sheetView workbookViewId="1">
      <selection activeCell="A1" sqref="A1"/>
    </sheetView>
  </sheetViews>
  <sheetFormatPr baseColWidth="8" defaultColWidth="8.69921875" defaultRowHeight="13.8"/>
  <cols>
    <col width="4.69921875" bestFit="1" customWidth="1" min="1" max="1"/>
    <col width="38.19921875" bestFit="1" customWidth="1" min="2" max="2"/>
    <col width="11.69921875" customWidth="1" min="3" max="4"/>
  </cols>
  <sheetData>
    <row r="1">
      <c r="A1" s="7" t="inlineStr">
        <is>
          <t>C_ID</t>
        </is>
      </c>
      <c r="B1" s="3" t="inlineStr">
        <is>
          <t>Company</t>
        </is>
      </c>
      <c r="C1" t="inlineStr">
        <is>
          <t>Type</t>
        </is>
      </c>
      <c r="D1" t="inlineStr">
        <is>
          <t>Airport</t>
        </is>
      </c>
    </row>
    <row r="2">
      <c r="A2" s="6">
        <f>IFERROR(VLOOKUP($B2,Company_Cat!$B$2:$E$623,2,FALSE),"")</f>
        <v/>
      </c>
      <c r="B2" s="4" t="inlineStr">
        <is>
          <t>Flightsure</t>
        </is>
      </c>
      <c r="C2" t="inlineStr">
        <is>
          <t>Postal</t>
        </is>
      </c>
      <c r="D2" t="inlineStr">
        <is>
          <t>N/A</t>
        </is>
      </c>
      <c r="E2" t="inlineStr">
        <is>
          <t>PO.Box 5072,  Halfway House, 1685</t>
        </is>
      </c>
    </row>
    <row r="3">
      <c r="A3" s="6">
        <f>IFERROR(VLOOKUP($B3,Company_Cat!$B$2:$E$623,2,FALSE),"")</f>
        <v/>
      </c>
      <c r="B3" s="4" t="inlineStr">
        <is>
          <t>Flightsure</t>
        </is>
      </c>
      <c r="C3" t="inlineStr">
        <is>
          <t>Head</t>
        </is>
      </c>
      <c r="E3" t="inlineStr">
        <is>
          <t>Block 2, First Floor South, Waterfall Terraces, Waterfall Park, Bekker Road, Midrand</t>
        </is>
      </c>
    </row>
    <row r="4">
      <c r="A4" s="6">
        <f>IFERROR(VLOOKUP($B4,Company_Cat!$B$2:$E$623,2,FALSE),"")</f>
        <v/>
      </c>
      <c r="B4" s="4" t="inlineStr">
        <is>
          <t>Arc Aviation (Aircraft Risk Company)</t>
        </is>
      </c>
      <c r="C4" t="inlineStr">
        <is>
          <t>Head</t>
        </is>
      </c>
      <c r="E4" t="inlineStr">
        <is>
          <t>Level 1, Block C, Cedar Tree Office Park, Cnr Cedar Road and Stinkwood Close, Broadacres</t>
        </is>
      </c>
    </row>
    <row r="5">
      <c r="A5" s="6">
        <f>IFERROR(VLOOKUP($B5,Company_Cat!$B$2:$E$623,2,FALSE),"")</f>
        <v/>
      </c>
      <c r="B5" s="4" t="inlineStr">
        <is>
          <t>AIG South Africa</t>
        </is>
      </c>
      <c r="C5" t="inlineStr">
        <is>
          <t>Joburg</t>
        </is>
      </c>
      <c r="E5" t="inlineStr">
        <is>
          <t>1st Floor, Sandown Mews West, 88 Stella Street, Sandown 2196 PO Box 31983, Braamfontein 2017, South Africa</t>
        </is>
      </c>
    </row>
    <row r="6">
      <c r="A6" s="6">
        <f>IFERROR(VLOOKUP($B6,Company_Cat!$B$2:$E$623,2,FALSE),"")</f>
        <v/>
      </c>
      <c r="B6" s="4" t="inlineStr">
        <is>
          <t>Orsmond Aviation</t>
        </is>
      </c>
      <c r="C6" t="inlineStr">
        <is>
          <t>Head</t>
        </is>
      </c>
      <c r="E6" t="inlineStr">
        <is>
          <t>Bethlehem</t>
        </is>
      </c>
    </row>
    <row r="7">
      <c r="A7" s="6">
        <f>IFERROR(VLOOKUP($B7,Company_Cat!$B$2:$E$623,2,FALSE),"")</f>
        <v/>
      </c>
      <c r="B7" s="4" t="inlineStr">
        <is>
          <t>Capital Air (Pty) Ltd</t>
        </is>
      </c>
      <c r="C7" t="inlineStr">
        <is>
          <t>Head</t>
        </is>
      </c>
      <c r="D7" t="inlineStr">
        <is>
          <t>Rand</t>
        </is>
      </c>
      <c r="E7" t="inlineStr">
        <is>
          <t>Hanger 3H-Rand Airport, Germiston 1401</t>
        </is>
      </c>
    </row>
    <row r="8">
      <c r="A8" s="6">
        <f>IFERROR(VLOOKUP($B8,Company_Cat!$B$2:$E$623,2,FALSE),"")</f>
        <v/>
      </c>
      <c r="B8" s="4" t="inlineStr">
        <is>
          <t>NAC Helicopter Division</t>
        </is>
      </c>
      <c r="C8" t="inlineStr">
        <is>
          <t>Head</t>
        </is>
      </c>
      <c r="E8" t="inlineStr">
        <is>
          <t>Rand Airport, Lanseria International Airport, Lanseria, 1748</t>
        </is>
      </c>
    </row>
    <row r="9">
      <c r="A9" s="6">
        <f>IFERROR(VLOOKUP($B9,Company_Cat!$B$2:$E$623,2,FALSE),"")</f>
        <v/>
      </c>
      <c r="B9" s="4" t="inlineStr">
        <is>
          <t>MCC Aviation(PTY) Ltd</t>
        </is>
      </c>
      <c r="C9" t="inlineStr">
        <is>
          <t>Head</t>
        </is>
      </c>
      <c r="E9" t="inlineStr">
        <is>
          <t>Hangar 43, Gate 5, Lanseria International Airport</t>
        </is>
      </c>
    </row>
    <row r="10" ht="15.6" customHeight="1">
      <c r="A10" s="6">
        <f>IFERROR(VLOOKUP($B10,Company_Cat!$B$2:$E$623,2,FALSE),"")</f>
        <v/>
      </c>
      <c r="B10" s="4" t="inlineStr">
        <is>
          <t>Transvaal Aircraft Maintenance (Pty) Ltd</t>
        </is>
      </c>
      <c r="C10" t="inlineStr">
        <is>
          <t>Head</t>
        </is>
      </c>
      <c r="E10" s="14" t="inlineStr">
        <is>
          <t>3 Hanger, Wonderboom Airport, Pretoria, 0182</t>
        </is>
      </c>
    </row>
    <row r="11" ht="15.6" customHeight="1">
      <c r="A11" s="6">
        <f>IFERROR(VLOOKUP($B11,Company_Cat!$B$2:$E$623,2,FALSE),"")</f>
        <v/>
      </c>
      <c r="B11" s="4" t="inlineStr">
        <is>
          <t>PRECISION AVIATION SERVICES (PTY) Ltd</t>
        </is>
      </c>
      <c r="C11" t="inlineStr">
        <is>
          <t>Head</t>
        </is>
      </c>
      <c r="E11" s="14" t="inlineStr">
        <is>
          <t>Hangar 109, Lintvelt Avenue, Wonderboom Airport, Pretoria, 0182P.O. Box 81958, Doornpoort, Pretoria, 0017</t>
        </is>
      </c>
    </row>
    <row r="12" ht="15.6" customHeight="1">
      <c r="A12" s="6">
        <f>IFERROR(VLOOKUP($B12,Company_Cat!$B$2:$E$623,2,FALSE),"")</f>
        <v/>
      </c>
      <c r="B12" s="4" t="inlineStr">
        <is>
          <t>BAC Aviation (Pty) Ltd</t>
        </is>
      </c>
      <c r="C12" t="inlineStr">
        <is>
          <t>Head</t>
        </is>
      </c>
      <c r="E12" s="14" t="inlineStr">
        <is>
          <t>Imbonini Helistop, 4 Barbet Road, Shakas Head, KZN 4399</t>
        </is>
      </c>
    </row>
    <row r="13" ht="15.6" customHeight="1">
      <c r="A13" s="6">
        <f>IFERROR(VLOOKUP($B13,Company_Cat!$B$2:$E$623,2,FALSE),"")</f>
        <v/>
      </c>
      <c r="B13" s="4" t="inlineStr">
        <is>
          <t>Ferreira Aviation CC</t>
        </is>
      </c>
      <c r="C13" t="inlineStr">
        <is>
          <t>Head</t>
        </is>
      </c>
      <c r="E13" s="14" t="inlineStr">
        <is>
          <t>Hangar B4, New Tempe Airport, Kenilworth Road, Bainsvlei, Bloemfontein</t>
        </is>
      </c>
    </row>
    <row r="14">
      <c r="A14" s="6">
        <f>IFERROR(VLOOKUP($B14,Company_Cat!$B$2:$E$623,2,FALSE),"")</f>
        <v/>
      </c>
      <c r="B14" s="4" t="inlineStr">
        <is>
          <t>Ferreira Aviation CC</t>
        </is>
      </c>
      <c r="C14" t="inlineStr">
        <is>
          <t>Satelite</t>
        </is>
      </c>
      <c r="E14" t="inlineStr">
        <is>
          <t>Ferreira Aviation, George Airport, General area, George</t>
        </is>
      </c>
    </row>
    <row r="15" ht="15.6" customHeight="1">
      <c r="A15" s="6">
        <f>IFERROR(VLOOKUP($B15,Company_Cat!$B$2:$E$623,2,FALSE),"")</f>
        <v/>
      </c>
      <c r="B15" s="4" t="inlineStr">
        <is>
          <t>Vektor Aviation</t>
        </is>
      </c>
      <c r="C15" t="inlineStr">
        <is>
          <t>Head</t>
        </is>
      </c>
      <c r="E15" s="14" t="inlineStr">
        <is>
          <t>296 Glenwood Road, Lynnwood Park, Pretoria, 0081</t>
        </is>
      </c>
    </row>
    <row r="16" ht="15.6" customHeight="1">
      <c r="A16" s="6">
        <f>IFERROR(VLOOKUP($B16,Company_Cat!$B$2:$E$623,2,FALSE),"")</f>
        <v/>
      </c>
      <c r="B16" s="4" t="inlineStr">
        <is>
          <t>Vektor Aviation</t>
        </is>
      </c>
      <c r="C16" t="inlineStr">
        <is>
          <t>Satelite</t>
        </is>
      </c>
      <c r="E16" s="14" t="inlineStr">
        <is>
          <t>Block A, Nicol on Main Office Park 2, Bruton Road, Bryanston, Johannesburg</t>
        </is>
      </c>
    </row>
    <row r="17" ht="15.6" customHeight="1">
      <c r="A17" s="6">
        <f>IFERROR(VLOOKUP($B17,Company_Cat!$B$2:$E$623,2,FALSE),"")</f>
        <v/>
      </c>
      <c r="B17" s="4" t="inlineStr">
        <is>
          <t>Greystones Aviaton Components (Pty) Ltd</t>
        </is>
      </c>
      <c r="C17" t="inlineStr">
        <is>
          <t>Head</t>
        </is>
      </c>
      <c r="E17" s="14" t="inlineStr">
        <is>
          <t>1146 Chris Hani Road, Durban, 4000</t>
        </is>
      </c>
    </row>
    <row r="18">
      <c r="A18" s="6">
        <f>IFERROR(VLOOKUP($B18,Company_Cat!$B$2:$E$623,2,FALSE),"")</f>
        <v/>
      </c>
      <c r="B18" s="4" t="inlineStr">
        <is>
          <t>Hover Dynamics Maintenance CC</t>
        </is>
      </c>
      <c r="C18" t="inlineStr">
        <is>
          <t>Head</t>
        </is>
      </c>
      <c r="E18" t="inlineStr">
        <is>
          <t>Hanger M, Grand Central Airport, Midrand</t>
        </is>
      </c>
    </row>
    <row r="19">
      <c r="A19" s="6">
        <f>IFERROR(VLOOKUP($B19,Company_Cat!$B$2:$E$623,2,FALSE),"")</f>
        <v/>
      </c>
      <c r="B19" s="4" t="inlineStr">
        <is>
          <t>Heli-Fix cc</t>
        </is>
      </c>
      <c r="C19" t="inlineStr">
        <is>
          <t>Head</t>
        </is>
      </c>
      <c r="E19" t="inlineStr">
        <is>
          <t>Hangar 37, Wonderboom Airport, Pretoria 0182PO Box 80602, Doornpoort, Pretoria 0017</t>
        </is>
      </c>
    </row>
    <row r="20" ht="15.6" customHeight="1">
      <c r="A20" s="6">
        <f>IFERROR(VLOOKUP($B20,Company_Cat!$B$2:$E$623,2,FALSE),"")</f>
        <v/>
      </c>
      <c r="B20" s="4" t="inlineStr">
        <is>
          <t>Leading Edge Aviation cc</t>
        </is>
      </c>
      <c r="C20" t="inlineStr">
        <is>
          <t>Head</t>
        </is>
      </c>
      <c r="E20" s="14" t="inlineStr">
        <is>
          <t>Hangar A1, Nelspruit Municipal Airport, Nelspruit 1200</t>
        </is>
      </c>
    </row>
    <row r="21">
      <c r="A21" s="6">
        <f>IFERROR(VLOOKUP($B21,Company_Cat!$B$2:$E$623,2,FALSE),"")</f>
        <v/>
      </c>
      <c r="B21" s="4" t="inlineStr">
        <is>
          <t>Denel Aeronautics</t>
        </is>
      </c>
      <c r="C21" t="inlineStr">
        <is>
          <t>Head</t>
        </is>
      </c>
      <c r="E21" t="inlineStr">
        <is>
          <t>Nellmapius Drive, Irene, PretoriaPO Box 8322, Centurion, 0046</t>
        </is>
      </c>
    </row>
    <row r="22">
      <c r="A22" s="6">
        <f>IFERROR(VLOOKUP($B22,Company_Cat!$B$2:$E$623,2,FALSE),"")</f>
        <v/>
      </c>
      <c r="B22" s="4" t="inlineStr">
        <is>
          <t>Henley Air Technical</t>
        </is>
      </c>
      <c r="C22" t="inlineStr">
        <is>
          <t>Head</t>
        </is>
      </c>
      <c r="E22" t="inlineStr">
        <is>
          <t>Hangar 6, Rand Airport, Germiston 1419PO Box 18027, Rand Airport 1419</t>
        </is>
      </c>
    </row>
    <row r="23">
      <c r="A23" s="6">
        <f>IFERROR(VLOOKUP($B23,Company_Cat!$B$2:$E$623,2,FALSE),"")</f>
        <v/>
      </c>
      <c r="B23" s="4" t="inlineStr">
        <is>
          <t>NRG EXPLORATION CC</t>
        </is>
      </c>
      <c r="C23" t="inlineStr">
        <is>
          <t>Head</t>
        </is>
      </c>
      <c r="E23" t="inlineStr">
        <is>
          <t>65 Beach Road, Red Herring Centre, Cape Town 7979</t>
        </is>
      </c>
    </row>
    <row r="24">
      <c r="A24" s="6">
        <f>IFERROR(VLOOKUP($B24,Company_Cat!$B$2:$E$623,2,FALSE),"")</f>
        <v/>
      </c>
      <c r="B24" s="4" t="inlineStr">
        <is>
          <t>Starlite Maintenance Durban (Pty) Ltd</t>
        </is>
      </c>
      <c r="C24" t="inlineStr">
        <is>
          <t>Head</t>
        </is>
      </c>
      <c r="E24" t="inlineStr">
        <is>
          <t>Hangar 123, Virginia Airport, Durban North 4051</t>
        </is>
      </c>
    </row>
    <row r="25" ht="15.6" customHeight="1">
      <c r="A25" s="6">
        <f>IFERROR(VLOOKUP($B25,Company_Cat!$B$2:$E$623,2,FALSE),"")</f>
        <v/>
      </c>
      <c r="B25" s="4" t="inlineStr">
        <is>
          <t>Trio  Helicopters &amp;  Aviation</t>
        </is>
      </c>
      <c r="C25" t="inlineStr">
        <is>
          <t>Head</t>
        </is>
      </c>
      <c r="E25" s="14" t="inlineStr">
        <is>
          <t>Hangar 44 Gate 5, Lanseria Airport, Lanseria 1748PO Box 43, Lanseria 1748</t>
        </is>
      </c>
    </row>
    <row r="26" ht="15.6" customHeight="1">
      <c r="A26" s="6">
        <f>IFERROR(VLOOKUP($B26,Company_Cat!$B$2:$E$623,2,FALSE),"")</f>
        <v/>
      </c>
      <c r="B26" s="4" t="inlineStr">
        <is>
          <t>Acher Aviation</t>
        </is>
      </c>
      <c r="C26" t="inlineStr">
        <is>
          <t>Postal</t>
        </is>
      </c>
      <c r="E26" s="14" t="inlineStr">
        <is>
          <t>PO Box 1918, Umhlanga Rocks 4320</t>
        </is>
      </c>
    </row>
    <row r="27" ht="15.6" customHeight="1">
      <c r="A27" s="6">
        <f>IFERROR(VLOOKUP($B27,Company_Cat!$B$2:$E$623,2,FALSE),"")</f>
        <v/>
      </c>
      <c r="B27" s="4" t="inlineStr">
        <is>
          <t>Airwork Aviation Maintenance Division (Pty)
Ltd</t>
        </is>
      </c>
      <c r="C27" t="inlineStr">
        <is>
          <t>Head</t>
        </is>
      </c>
      <c r="E27" s="14" t="inlineStr">
        <is>
          <t>Rand Airport, Germiston 1401</t>
        </is>
      </c>
    </row>
    <row r="28">
      <c r="A28" s="6">
        <f>IFERROR(VLOOKUP($B28,Company_Cat!$B$2:$E$623,2,FALSE),"")</f>
        <v/>
      </c>
      <c r="B28" s="4" t="inlineStr">
        <is>
          <t>Breytech Aviation cc</t>
        </is>
      </c>
      <c r="C28" t="inlineStr">
        <is>
          <t>Head</t>
        </is>
      </c>
      <c r="E28" t="inlineStr">
        <is>
          <t>Hangar 32, Wonderboom Airport, Doornpoort, Pretoria</t>
        </is>
      </c>
    </row>
    <row r="29" ht="15.6" customHeight="1">
      <c r="A29" s="6">
        <f>IFERROR(VLOOKUP($B29,Company_Cat!$B$2:$E$623,2,FALSE),"")</f>
        <v/>
      </c>
      <c r="B29" s="4" t="inlineStr">
        <is>
          <t>Paramount Aerospace Systems</t>
        </is>
      </c>
      <c r="C29" t="inlineStr">
        <is>
          <t>Head</t>
        </is>
      </c>
      <c r="E29" s="14" t="inlineStr">
        <is>
          <t>998 16th Road, Midrand, 1685</t>
        </is>
      </c>
    </row>
    <row r="30" ht="15.6" customHeight="1">
      <c r="A30" s="6">
        <f>IFERROR(VLOOKUP($B30,Company_Cat!$B$2:$E$623,2,FALSE),"")</f>
        <v/>
      </c>
      <c r="B30" s="4" t="inlineStr">
        <is>
          <t>Starlite Maintenance</t>
        </is>
      </c>
      <c r="C30" t="inlineStr">
        <is>
          <t>Satelite</t>
        </is>
      </c>
      <c r="E30" s="14" t="inlineStr">
        <is>
          <t xml:space="preserve">Outskirts of Johannesburg, 40 km from O.R. Tambo International Airport  </t>
        </is>
      </c>
    </row>
    <row r="31" ht="15.6" customHeight="1">
      <c r="A31" s="6">
        <f>IFERROR(VLOOKUP($B31,Company_Cat!$B$2:$E$623,2,FALSE),"")</f>
        <v/>
      </c>
      <c r="B31" s="4" t="inlineStr">
        <is>
          <t>Hover Dynamics Maintenance CC</t>
        </is>
      </c>
      <c r="C31" t="inlineStr">
        <is>
          <t>Head</t>
        </is>
      </c>
      <c r="E31" s="14" t="inlineStr">
        <is>
          <t xml:space="preserve">Hanger 6, Old Nelspruit Airfield, Kaapsehoop Road, Nelspruit, Mpumalanga, South Africa  </t>
        </is>
      </c>
    </row>
    <row r="32" ht="15.6" customHeight="1">
      <c r="A32" s="6">
        <f>IFERROR(VLOOKUP($B32,Company_Cat!$B$2:$E$623,2,FALSE),"")</f>
        <v/>
      </c>
      <c r="B32" s="4" t="inlineStr">
        <is>
          <t>SAPS AIRWING</t>
        </is>
      </c>
      <c r="C32" t="inlineStr">
        <is>
          <t>Head</t>
        </is>
      </c>
      <c r="E32" s="14" t="inlineStr">
        <is>
          <t xml:space="preserve">Wachthuis Building, 7th Floor, 229 Pretorius Street, Pretoria West, Pretoria, 0001  </t>
        </is>
      </c>
    </row>
    <row r="33">
      <c r="A33" s="6">
        <f>IFERROR(VLOOKUP($B33,Company_Cat!$B$2:$E$623,2,FALSE),"")</f>
        <v/>
      </c>
      <c r="B33" s="4" t="inlineStr">
        <is>
          <t>Aeronautic Solutions (Pty) Ltd</t>
        </is>
      </c>
      <c r="C33" t="inlineStr">
        <is>
          <t>Head</t>
        </is>
      </c>
      <c r="E33" t="inlineStr">
        <is>
          <t xml:space="preserve">7 Koedoe Rd, Timsrand AH, Centurion, 0157, South Africa  </t>
        </is>
      </c>
    </row>
    <row r="34" ht="15.6" customHeight="1">
      <c r="A34" s="6">
        <f>IFERROR(VLOOKUP($B34,Company_Cat!$B$2:$E$623,2,FALSE),"")</f>
        <v/>
      </c>
      <c r="B34" s="4" t="inlineStr">
        <is>
          <t>Warbird Aircraft Services CC</t>
        </is>
      </c>
      <c r="C34" t="inlineStr">
        <is>
          <t>Head</t>
        </is>
      </c>
      <c r="E34" s="14" t="inlineStr">
        <is>
          <t xml:space="preserve">61 Wonderboom Airport, 35/R Plot Rd, Wonderboom 302 JR, Pretoria, Gauteng, 0017  </t>
        </is>
      </c>
    </row>
    <row r="35" ht="15.6" customHeight="1">
      <c r="A35" s="6">
        <f>IFERROR(VLOOKUP($B35,Company_Cat!$B$2:$E$623,2,FALSE),"")</f>
        <v/>
      </c>
      <c r="B35" s="4" t="inlineStr">
        <is>
          <t>FFA  Aviation</t>
        </is>
      </c>
      <c r="C35" t="inlineStr">
        <is>
          <t>Head</t>
        </is>
      </c>
      <c r="E35" s="14" t="inlineStr">
        <is>
          <t xml:space="preserve">Nelspruit Airfield, 1 Club Street, Nelspruit, Mpumalanga, 1200, South Africa  </t>
        </is>
      </c>
    </row>
    <row r="36" ht="15.6" customHeight="1">
      <c r="A36" s="6">
        <f>IFERROR(VLOOKUP($B36,Company_Cat!$B$2:$E$623,2,FALSE),"")</f>
        <v/>
      </c>
      <c r="B36" s="4" t="inlineStr">
        <is>
          <t>Savannah Helicopter Maintenance</t>
        </is>
      </c>
      <c r="C36" t="inlineStr">
        <is>
          <t>Head</t>
        </is>
      </c>
      <c r="E36" s="14" t="inlineStr">
        <is>
          <t xml:space="preserve">Hanger 7, Wonderboom Airport, Pretoria, South Africa  </t>
        </is>
      </c>
    </row>
    <row r="37">
      <c r="A37" s="6">
        <f>IFERROR(VLOOKUP($B37,Company_Cat!$B$2:$E$623,2,FALSE),"")</f>
        <v/>
      </c>
      <c r="B37" s="4" t="inlineStr">
        <is>
          <t>Superior Aeroworx</t>
        </is>
      </c>
      <c r="C37" t="inlineStr">
        <is>
          <t>Head</t>
        </is>
      </c>
      <c r="E37" t="inlineStr">
        <is>
          <t xml:space="preserve">No 3 New Road, Main Terminal Building, Grand Central Airport, Midrand, Gauteng, 1685, South Africa  </t>
        </is>
      </c>
    </row>
    <row r="38">
      <c r="A38" s="6">
        <f>IFERROR(VLOOKUP($B38,Company_Cat!$B$2:$E$623,2,FALSE),"")</f>
        <v/>
      </c>
      <c r="B38" s="4" t="n"/>
    </row>
    <row r="39">
      <c r="A39" s="6">
        <f>IFERROR(VLOOKUP($B39,Company_Cat!$B$2:$E$623,2,FALSE),"")</f>
        <v/>
      </c>
      <c r="B39" s="4" t="n"/>
    </row>
    <row r="40">
      <c r="A40" s="6">
        <f>IFERROR(VLOOKUP($B40,Company_Cat!$B$2:$E$623,2,FALSE),"")</f>
        <v/>
      </c>
      <c r="B40" s="4" t="n"/>
    </row>
    <row r="41">
      <c r="A41" s="6">
        <f>IFERROR(VLOOKUP($B41,Company_Cat!$B$2:$E$623,2,FALSE),"")</f>
        <v/>
      </c>
      <c r="B41" s="4" t="n"/>
    </row>
    <row r="42">
      <c r="A42" s="6">
        <f>IFERROR(VLOOKUP($B42,Company_Cat!$B$2:$E$623,2,FALSE),"")</f>
        <v/>
      </c>
      <c r="B42" s="4" t="n"/>
    </row>
    <row r="43">
      <c r="A43" s="6">
        <f>IFERROR(VLOOKUP($B43,Company_Cat!$B$2:$E$623,2,FALSE),"")</f>
        <v/>
      </c>
      <c r="B43" s="4" t="n"/>
    </row>
    <row r="44">
      <c r="A44" s="6">
        <f>IFERROR(VLOOKUP($B44,Company_Cat!$B$2:$E$623,2,FALSE),"")</f>
        <v/>
      </c>
      <c r="B44" s="4" t="n"/>
    </row>
    <row r="45">
      <c r="A45" s="6">
        <f>IFERROR(VLOOKUP($B45,Company_Cat!$B$2:$E$623,2,FALSE),"")</f>
        <v/>
      </c>
      <c r="B45" s="4" t="n"/>
    </row>
    <row r="46">
      <c r="A46" s="6">
        <f>IFERROR(VLOOKUP($B46,Company_Cat!$B$2:$E$623,2,FALSE),"")</f>
        <v/>
      </c>
      <c r="B46" s="4" t="n"/>
    </row>
    <row r="47">
      <c r="A47" s="6">
        <f>IFERROR(VLOOKUP($B47,Company_Cat!$B$2:$E$623,2,FALSE),"")</f>
        <v/>
      </c>
      <c r="B47" s="4" t="n"/>
    </row>
    <row r="48">
      <c r="A48" s="6">
        <f>IFERROR(VLOOKUP($B48,Company_Cat!$B$2:$E$623,2,FALSE),"")</f>
        <v/>
      </c>
      <c r="B48" s="4" t="n"/>
    </row>
    <row r="49">
      <c r="A49" s="6">
        <f>IFERROR(VLOOKUP($B49,Company_Cat!$B$2:$E$623,2,FALSE),"")</f>
        <v/>
      </c>
      <c r="B49" s="4" t="n"/>
    </row>
    <row r="50">
      <c r="A50" s="6">
        <f>IFERROR(VLOOKUP($B50,Company_Cat!$B$2:$E$623,2,FALSE),"")</f>
        <v/>
      </c>
      <c r="B50" s="4" t="n"/>
    </row>
    <row r="51">
      <c r="A51" s="6">
        <f>IFERROR(VLOOKUP($B51,Company_Cat!$B$2:$E$623,2,FALSE),"")</f>
        <v/>
      </c>
      <c r="B51" s="4" t="n"/>
    </row>
    <row r="52">
      <c r="A52" s="6">
        <f>IFERROR(VLOOKUP($B52,Company_Cat!$B$2:$E$623,2,FALSE),"")</f>
        <v/>
      </c>
      <c r="B52" s="4" t="n"/>
    </row>
    <row r="53">
      <c r="A53" s="6">
        <f>IFERROR(VLOOKUP($B53,Company_Cat!$B$2:$E$623,2,FALSE),"")</f>
        <v/>
      </c>
      <c r="B53" s="4" t="n"/>
    </row>
    <row r="54">
      <c r="A54" s="6">
        <f>IFERROR(VLOOKUP($B54,Company_Cat!$B$2:$E$623,2,FALSE),"")</f>
        <v/>
      </c>
      <c r="B54" s="4" t="n"/>
    </row>
    <row r="55">
      <c r="A55" s="6">
        <f>IFERROR(VLOOKUP($B55,Company_Cat!$B$2:$E$623,2,FALSE),"")</f>
        <v/>
      </c>
      <c r="B55" s="4" t="n"/>
    </row>
    <row r="56">
      <c r="A56" s="6">
        <f>IFERROR(VLOOKUP($B56,Company_Cat!$B$2:$E$623,2,FALSE),"")</f>
        <v/>
      </c>
      <c r="B56" s="4" t="n"/>
    </row>
    <row r="57">
      <c r="A57" s="6">
        <f>IFERROR(VLOOKUP($B57,Company_Cat!$B$2:$E$623,2,FALSE),"")</f>
        <v/>
      </c>
      <c r="B57" s="4" t="n"/>
    </row>
    <row r="58">
      <c r="A58" s="6">
        <f>IFERROR(VLOOKUP($B58,Company_Cat!$B$2:$E$623,2,FALSE),"")</f>
        <v/>
      </c>
      <c r="B58" s="4" t="n"/>
    </row>
    <row r="59">
      <c r="A59" s="6">
        <f>IFERROR(VLOOKUP($B59,Company_Cat!$B$2:$E$623,2,FALSE),"")</f>
        <v/>
      </c>
      <c r="B59" s="4" t="n"/>
    </row>
    <row r="60">
      <c r="A60" s="6">
        <f>IFERROR(VLOOKUP($B60,Company_Cat!$B$2:$E$623,2,FALSE),"")</f>
        <v/>
      </c>
      <c r="B60" s="4" t="n"/>
    </row>
    <row r="61">
      <c r="A61" s="6">
        <f>IFERROR(VLOOKUP($B61,Company_Cat!$B$2:$E$623,2,FALSE),"")</f>
        <v/>
      </c>
      <c r="B61" s="4" t="n"/>
    </row>
    <row r="62">
      <c r="A62" s="6">
        <f>IFERROR(VLOOKUP($B62,Company_Cat!$B$2:$E$623,2,FALSE),"")</f>
        <v/>
      </c>
      <c r="B62" s="4" t="n"/>
    </row>
    <row r="63">
      <c r="A63" s="6">
        <f>IFERROR(VLOOKUP($B63,Company_Cat!$B$2:$E$623,2,FALSE),"")</f>
        <v/>
      </c>
      <c r="B63" s="4" t="n"/>
    </row>
    <row r="64">
      <c r="A64" s="6">
        <f>IFERROR(VLOOKUP($B64,Company_Cat!$B$2:$E$623,2,FALSE),"")</f>
        <v/>
      </c>
      <c r="B64" s="4" t="n"/>
    </row>
    <row r="65">
      <c r="A65" s="6">
        <f>IFERROR(VLOOKUP($B65,Company_Cat!$B$2:$E$623,2,FALSE),"")</f>
        <v/>
      </c>
      <c r="B65" s="4" t="n"/>
    </row>
    <row r="66">
      <c r="A66" s="6">
        <f>IFERROR(VLOOKUP($B66,Company_Cat!$B$2:$E$623,2,FALSE),"")</f>
        <v/>
      </c>
      <c r="B66" s="4" t="n"/>
    </row>
    <row r="67">
      <c r="A67" s="6">
        <f>IFERROR(VLOOKUP($B67,Company_Cat!$B$2:$E$623,2,FALSE),"")</f>
        <v/>
      </c>
      <c r="B67" s="4" t="n"/>
    </row>
    <row r="68">
      <c r="A68" s="6">
        <f>IFERROR(VLOOKUP($B68,Company_Cat!$B$2:$E$623,2,FALSE),"")</f>
        <v/>
      </c>
      <c r="B68" s="4" t="n"/>
    </row>
    <row r="69">
      <c r="A69" s="6">
        <f>IFERROR(VLOOKUP($B69,Company_Cat!$B$2:$E$623,2,FALSE),"")</f>
        <v/>
      </c>
      <c r="B69" s="4" t="n"/>
    </row>
    <row r="70">
      <c r="A70" s="6">
        <f>IFERROR(VLOOKUP($B70,Company_Cat!$B$2:$E$623,2,FALSE),"")</f>
        <v/>
      </c>
      <c r="B70" s="4" t="n"/>
    </row>
    <row r="71">
      <c r="A71" s="6">
        <f>IFERROR(VLOOKUP($B71,Company_Cat!$B$2:$E$623,2,FALSE),"")</f>
        <v/>
      </c>
      <c r="B71" s="4" t="n"/>
    </row>
    <row r="72">
      <c r="A72" s="6">
        <f>IFERROR(VLOOKUP($B72,Company_Cat!$B$2:$E$623,2,FALSE),"")</f>
        <v/>
      </c>
      <c r="B72" s="4" t="n"/>
    </row>
    <row r="73">
      <c r="A73" s="6">
        <f>IFERROR(VLOOKUP($B73,Company_Cat!$B$2:$E$623,2,FALSE),"")</f>
        <v/>
      </c>
      <c r="B73" s="4" t="n"/>
    </row>
    <row r="74">
      <c r="A74" s="6">
        <f>IFERROR(VLOOKUP($B74,Company_Cat!$B$2:$E$623,2,FALSE),"")</f>
        <v/>
      </c>
      <c r="B74" s="4" t="n"/>
    </row>
    <row r="75">
      <c r="A75" s="6">
        <f>IFERROR(VLOOKUP($B75,Company_Cat!$B$2:$E$623,2,FALSE),"")</f>
        <v/>
      </c>
      <c r="B75" s="4" t="n"/>
    </row>
    <row r="76">
      <c r="A76" s="6">
        <f>IFERROR(VLOOKUP($B76,Company_Cat!$B$2:$E$623,2,FALSE),"")</f>
        <v/>
      </c>
      <c r="B76" s="4" t="n"/>
    </row>
    <row r="77">
      <c r="A77" s="6">
        <f>IFERROR(VLOOKUP($B77,Company_Cat!$B$2:$E$623,2,FALSE),"")</f>
        <v/>
      </c>
      <c r="B77" s="4" t="n"/>
    </row>
    <row r="78">
      <c r="A78" s="6">
        <f>IFERROR(VLOOKUP($B78,Company_Cat!$B$2:$E$623,2,FALSE),"")</f>
        <v/>
      </c>
      <c r="B78" s="4" t="n"/>
    </row>
    <row r="79">
      <c r="A79" s="6">
        <f>IFERROR(VLOOKUP($B79,Company_Cat!$B$2:$E$623,2,FALSE),"")</f>
        <v/>
      </c>
      <c r="B79" s="4" t="n"/>
    </row>
    <row r="80">
      <c r="A80" s="6">
        <f>IFERROR(VLOOKUP($B80,Company_Cat!$B$2:$E$623,2,FALSE),"")</f>
        <v/>
      </c>
      <c r="B80" s="4" t="n"/>
    </row>
    <row r="81">
      <c r="A81" s="6">
        <f>IFERROR(VLOOKUP($B81,Company_Cat!$B$2:$E$623,2,FALSE),"")</f>
        <v/>
      </c>
      <c r="B81" s="4" t="n"/>
    </row>
    <row r="82">
      <c r="A82" s="6">
        <f>IFERROR(VLOOKUP($B82,Company_Cat!$B$2:$E$623,2,FALSE),"")</f>
        <v/>
      </c>
      <c r="B82" s="4" t="n"/>
    </row>
    <row r="83">
      <c r="A83" s="6">
        <f>IFERROR(VLOOKUP($B83,Company_Cat!$B$2:$E$623,2,FALSE),"")</f>
        <v/>
      </c>
      <c r="B83" s="4" t="n"/>
    </row>
    <row r="84">
      <c r="A84" s="6">
        <f>IFERROR(VLOOKUP($B84,Company_Cat!$B$2:$E$623,2,FALSE),"")</f>
        <v/>
      </c>
      <c r="B84" s="4" t="n"/>
    </row>
    <row r="85">
      <c r="A85" s="6">
        <f>IFERROR(VLOOKUP($B85,Company_Cat!$B$2:$E$623,2,FALSE),"")</f>
        <v/>
      </c>
      <c r="B85" s="4" t="n"/>
    </row>
    <row r="86">
      <c r="A86" s="6">
        <f>IFERROR(VLOOKUP($B86,Company_Cat!$B$2:$E$623,2,FALSE),"")</f>
        <v/>
      </c>
      <c r="B86" s="4" t="n"/>
    </row>
    <row r="87">
      <c r="A87" s="6">
        <f>IFERROR(VLOOKUP($B87,Company_Cat!$B$2:$E$623,2,FALSE),"")</f>
        <v/>
      </c>
      <c r="B87" s="4" t="n"/>
    </row>
    <row r="88">
      <c r="A88" s="6">
        <f>IFERROR(VLOOKUP($B88,Company_Cat!$B$2:$E$623,2,FALSE),"")</f>
        <v/>
      </c>
      <c r="B88" s="4" t="n"/>
    </row>
    <row r="89">
      <c r="A89" s="6">
        <f>IFERROR(VLOOKUP($B89,Company_Cat!$B$2:$E$623,2,FALSE),"")</f>
        <v/>
      </c>
      <c r="B89" s="4" t="n"/>
    </row>
    <row r="90">
      <c r="A90" s="6">
        <f>IFERROR(VLOOKUP($B90,Company_Cat!$B$2:$E$623,2,FALSE),"")</f>
        <v/>
      </c>
      <c r="B90" s="4" t="n"/>
    </row>
    <row r="91">
      <c r="A91" s="6">
        <f>IFERROR(VLOOKUP($B91,Company_Cat!$B$2:$E$623,2,FALSE),"")</f>
        <v/>
      </c>
      <c r="B91" s="4" t="n"/>
    </row>
    <row r="92">
      <c r="A92" s="6">
        <f>IFERROR(VLOOKUP($B92,Company_Cat!$B$2:$E$623,2,FALSE),"")</f>
        <v/>
      </c>
      <c r="B92" s="4" t="n"/>
    </row>
    <row r="93">
      <c r="A93" s="6">
        <f>IFERROR(VLOOKUP($B93,Company_Cat!$B$2:$E$623,2,FALSE),"")</f>
        <v/>
      </c>
      <c r="B93" s="4" t="n"/>
    </row>
    <row r="94">
      <c r="A94" s="6">
        <f>IFERROR(VLOOKUP($B94,Company_Cat!$B$2:$E$623,2,FALSE),"")</f>
        <v/>
      </c>
      <c r="B94" s="4" t="n"/>
    </row>
    <row r="95">
      <c r="A95" s="6">
        <f>IFERROR(VLOOKUP($B95,Company_Cat!$B$2:$E$623,2,FALSE),"")</f>
        <v/>
      </c>
      <c r="B95" s="4" t="n"/>
    </row>
    <row r="96">
      <c r="A96" s="6">
        <f>IFERROR(VLOOKUP($B96,Company_Cat!$B$2:$E$623,2,FALSE),"")</f>
        <v/>
      </c>
      <c r="B96" s="4" t="n"/>
    </row>
    <row r="97">
      <c r="A97" s="6">
        <f>IFERROR(VLOOKUP($B97,Company_Cat!$B$2:$E$623,2,FALSE),"")</f>
        <v/>
      </c>
      <c r="B97" s="4" t="n"/>
    </row>
    <row r="98">
      <c r="A98" s="6">
        <f>IFERROR(VLOOKUP($B98,Company_Cat!$B$2:$E$623,2,FALSE),"")</f>
        <v/>
      </c>
      <c r="B98" s="4" t="n"/>
    </row>
    <row r="99">
      <c r="A99" s="6">
        <f>IFERROR(VLOOKUP($B99,Company_Cat!$B$2:$E$623,2,FALSE),"")</f>
        <v/>
      </c>
      <c r="B99" s="4" t="n"/>
    </row>
    <row r="100">
      <c r="A100" s="6">
        <f>IFERROR(VLOOKUP($B100,Company_Cat!$B$2:$E$623,2,FALSE),"")</f>
        <v/>
      </c>
      <c r="B100" s="4" t="n"/>
    </row>
    <row r="101">
      <c r="A101" s="6">
        <f>IFERROR(VLOOKUP($B101,Company_Cat!$B$2:$E$623,2,FALSE),"")</f>
        <v/>
      </c>
      <c r="B101" s="4" t="n"/>
    </row>
    <row r="102">
      <c r="A102" s="6">
        <f>IFERROR(VLOOKUP($B102,Company_Cat!$B$2:$E$623,2,FALSE),"")</f>
        <v/>
      </c>
      <c r="B102" s="4" t="n"/>
    </row>
    <row r="103">
      <c r="A103" s="6">
        <f>IFERROR(VLOOKUP($B103,Company_Cat!$B$2:$E$623,2,FALSE),"")</f>
        <v/>
      </c>
      <c r="B103" s="4" t="n"/>
    </row>
    <row r="104">
      <c r="A104" s="6">
        <f>IFERROR(VLOOKUP($B104,Company_Cat!$B$2:$E$623,2,FALSE),"")</f>
        <v/>
      </c>
      <c r="B104" s="4" t="n"/>
    </row>
    <row r="105">
      <c r="A105" s="6">
        <f>IFERROR(VLOOKUP($B105,Company_Cat!$B$2:$E$623,2,FALSE),"")</f>
        <v/>
      </c>
      <c r="B105" s="4" t="n"/>
    </row>
    <row r="106">
      <c r="A106" s="6">
        <f>IFERROR(VLOOKUP($B106,Company_Cat!$B$2:$E$623,2,FALSE),"")</f>
        <v/>
      </c>
      <c r="B106" s="4" t="n"/>
    </row>
    <row r="107">
      <c r="A107" s="6">
        <f>IFERROR(VLOOKUP($B107,Company_Cat!$B$2:$E$623,2,FALSE),"")</f>
        <v/>
      </c>
      <c r="B107" s="4" t="n"/>
    </row>
    <row r="108">
      <c r="A108" s="6">
        <f>IFERROR(VLOOKUP($B108,Company_Cat!$B$2:$E$623,2,FALSE),"")</f>
        <v/>
      </c>
      <c r="B108" s="4" t="n"/>
    </row>
    <row r="109">
      <c r="A109" s="6">
        <f>IFERROR(VLOOKUP($B109,Company_Cat!$B$2:$E$623,2,FALSE),"")</f>
        <v/>
      </c>
      <c r="B109" s="4" t="n"/>
    </row>
    <row r="110">
      <c r="A110" s="6">
        <f>IFERROR(VLOOKUP($B110,Company_Cat!$B$2:$E$623,2,FALSE),"")</f>
        <v/>
      </c>
      <c r="B110" s="4" t="n"/>
    </row>
    <row r="111">
      <c r="A111" s="6">
        <f>IFERROR(VLOOKUP($B111,Company_Cat!$B$2:$E$623,2,FALSE),"")</f>
        <v/>
      </c>
      <c r="B111" s="4" t="n"/>
    </row>
    <row r="112">
      <c r="A112" s="6">
        <f>IFERROR(VLOOKUP($B112,Company_Cat!$B$2:$E$623,2,FALSE),"")</f>
        <v/>
      </c>
      <c r="B112" s="4" t="n"/>
    </row>
    <row r="113">
      <c r="A113" s="6">
        <f>IFERROR(VLOOKUP($B113,Company_Cat!$B$2:$E$623,2,FALSE),"")</f>
        <v/>
      </c>
      <c r="B113" s="4" t="n"/>
    </row>
    <row r="114">
      <c r="A114" s="6">
        <f>IFERROR(VLOOKUP($B114,Company_Cat!$B$2:$E$623,2,FALSE),"")</f>
        <v/>
      </c>
      <c r="B114" s="4" t="n"/>
    </row>
    <row r="115">
      <c r="A115" s="6">
        <f>IFERROR(VLOOKUP($B115,Company_Cat!$B$2:$E$623,2,FALSE),"")</f>
        <v/>
      </c>
      <c r="B115" s="4" t="n"/>
    </row>
    <row r="116">
      <c r="A116" s="6">
        <f>IFERROR(VLOOKUP($B116,Company_Cat!$B$2:$E$623,2,FALSE),"")</f>
        <v/>
      </c>
      <c r="B116" s="4" t="n"/>
    </row>
    <row r="117">
      <c r="A117" s="6">
        <f>IFERROR(VLOOKUP($B117,Company_Cat!$B$2:$E$623,2,FALSE),"")</f>
        <v/>
      </c>
      <c r="B117" s="4" t="n"/>
    </row>
    <row r="118">
      <c r="A118" s="6">
        <f>IFERROR(VLOOKUP($B118,Company_Cat!$B$2:$E$623,2,FALSE),"")</f>
        <v/>
      </c>
      <c r="B118" s="4" t="n"/>
    </row>
    <row r="119">
      <c r="A119" s="6">
        <f>IFERROR(VLOOKUP($B119,Company_Cat!$B$2:$E$623,2,FALSE),"")</f>
        <v/>
      </c>
      <c r="B119" s="4" t="n"/>
    </row>
    <row r="120">
      <c r="A120" s="6">
        <f>IFERROR(VLOOKUP($B120,Company_Cat!$B$2:$E$623,2,FALSE),"")</f>
        <v/>
      </c>
      <c r="B120" s="4" t="n"/>
    </row>
    <row r="121">
      <c r="A121" s="6">
        <f>IFERROR(VLOOKUP($B121,Company_Cat!$B$2:$E$623,2,FALSE),"")</f>
        <v/>
      </c>
      <c r="B121" s="4" t="n"/>
    </row>
    <row r="122">
      <c r="A122" s="6">
        <f>IFERROR(VLOOKUP($B122,Company_Cat!$B$2:$E$623,2,FALSE),"")</f>
        <v/>
      </c>
      <c r="B122" s="4" t="n"/>
    </row>
    <row r="123">
      <c r="A123" s="6">
        <f>IFERROR(VLOOKUP($B123,Company_Cat!$B$2:$E$623,2,FALSE),"")</f>
        <v/>
      </c>
      <c r="B123" s="4" t="n"/>
    </row>
    <row r="124">
      <c r="A124" s="6">
        <f>IFERROR(VLOOKUP($B124,Company_Cat!$B$2:$E$623,2,FALSE),"")</f>
        <v/>
      </c>
      <c r="B124" s="4" t="n"/>
    </row>
    <row r="125">
      <c r="A125" s="6">
        <f>IFERROR(VLOOKUP($B125,Company_Cat!$B$2:$E$623,2,FALSE),"")</f>
        <v/>
      </c>
      <c r="B125" s="4" t="n"/>
    </row>
    <row r="126">
      <c r="A126" s="6">
        <f>IFERROR(VLOOKUP($B126,Company_Cat!$B$2:$E$623,2,FALSE),"")</f>
        <v/>
      </c>
      <c r="B126" s="4" t="n"/>
    </row>
    <row r="127">
      <c r="A127" s="6">
        <f>IFERROR(VLOOKUP($B127,Company_Cat!$B$2:$E$623,2,FALSE),"")</f>
        <v/>
      </c>
      <c r="B127" s="4" t="n"/>
    </row>
    <row r="128">
      <c r="A128" s="6">
        <f>IFERROR(VLOOKUP($B128,Company_Cat!$B$2:$E$623,2,FALSE),"")</f>
        <v/>
      </c>
      <c r="B128" s="4" t="n"/>
    </row>
    <row r="129">
      <c r="A129" s="6">
        <f>IFERROR(VLOOKUP($B129,Company_Cat!$B$2:$E$623,2,FALSE),"")</f>
        <v/>
      </c>
      <c r="B129" s="4" t="n"/>
    </row>
    <row r="130">
      <c r="A130" s="6">
        <f>IFERROR(VLOOKUP($B130,Company_Cat!$B$2:$E$623,2,FALSE),"")</f>
        <v/>
      </c>
      <c r="B130" s="4" t="n"/>
    </row>
    <row r="131">
      <c r="A131" s="6">
        <f>IFERROR(VLOOKUP($B131,Company_Cat!$B$2:$E$623,2,FALSE),"")</f>
        <v/>
      </c>
      <c r="B131" s="4" t="n"/>
    </row>
    <row r="132">
      <c r="A132" s="6">
        <f>IFERROR(VLOOKUP($B132,Company_Cat!$B$2:$E$623,2,FALSE),"")</f>
        <v/>
      </c>
      <c r="B132" s="4" t="n"/>
    </row>
    <row r="133">
      <c r="A133" s="6">
        <f>IFERROR(VLOOKUP($B133,Company_Cat!$B$2:$E$623,2,FALSE),"")</f>
        <v/>
      </c>
      <c r="B133" s="4" t="n"/>
    </row>
    <row r="134">
      <c r="A134" s="6">
        <f>IFERROR(VLOOKUP($B134,Company_Cat!$B$2:$E$623,2,FALSE),"")</f>
        <v/>
      </c>
      <c r="B134" s="4" t="n"/>
    </row>
    <row r="135">
      <c r="A135" s="6">
        <f>IFERROR(VLOOKUP($B135,Company_Cat!$B$2:$E$623,2,FALSE),"")</f>
        <v/>
      </c>
      <c r="B135" s="4" t="n"/>
    </row>
    <row r="136">
      <c r="A136" s="6">
        <f>IFERROR(VLOOKUP($B136,Company_Cat!$B$2:$E$623,2,FALSE),"")</f>
        <v/>
      </c>
      <c r="B136" s="4" t="n"/>
    </row>
    <row r="137">
      <c r="A137" s="6">
        <f>IFERROR(VLOOKUP($B137,Company_Cat!$B$2:$E$623,2,FALSE),"")</f>
        <v/>
      </c>
      <c r="B137" s="4" t="n"/>
    </row>
    <row r="138">
      <c r="A138" s="6">
        <f>IFERROR(VLOOKUP($B138,Company_Cat!$B$2:$E$623,2,FALSE),"")</f>
        <v/>
      </c>
      <c r="B138" s="4" t="n"/>
    </row>
    <row r="139">
      <c r="A139" s="6">
        <f>IFERROR(VLOOKUP($B139,Company_Cat!$B$2:$E$623,2,FALSE),"")</f>
        <v/>
      </c>
      <c r="B139" s="4" t="n"/>
    </row>
    <row r="140">
      <c r="A140" s="6">
        <f>IFERROR(VLOOKUP($B140,Company_Cat!$B$2:$E$623,2,FALSE),"")</f>
        <v/>
      </c>
      <c r="B140" s="4" t="n"/>
    </row>
    <row r="141">
      <c r="A141" s="6">
        <f>IFERROR(VLOOKUP($B141,Company_Cat!$B$2:$E$623,2,FALSE),"")</f>
        <v/>
      </c>
      <c r="B141" s="4" t="n"/>
    </row>
    <row r="142">
      <c r="A142" s="6">
        <f>IFERROR(VLOOKUP($B142,Company_Cat!$B$2:$E$623,2,FALSE),"")</f>
        <v/>
      </c>
      <c r="B142" s="4" t="n"/>
    </row>
    <row r="143">
      <c r="A143" s="6">
        <f>IFERROR(VLOOKUP($B143,Company_Cat!$B$2:$E$623,2,FALSE),"")</f>
        <v/>
      </c>
      <c r="B143" s="4" t="n"/>
    </row>
    <row r="144">
      <c r="A144" s="6">
        <f>IFERROR(VLOOKUP($B144,Company_Cat!$B$2:$E$623,2,FALSE),"")</f>
        <v/>
      </c>
      <c r="B144" s="4" t="n"/>
    </row>
    <row r="145">
      <c r="A145" s="6">
        <f>IFERROR(VLOOKUP($B145,Company_Cat!$B$2:$E$623,2,FALSE),"")</f>
        <v/>
      </c>
      <c r="B145" s="4" t="n"/>
    </row>
    <row r="146">
      <c r="A146" s="6">
        <f>IFERROR(VLOOKUP($B146,Company_Cat!$B$2:$E$623,2,FALSE),"")</f>
        <v/>
      </c>
      <c r="B146" s="4" t="n"/>
    </row>
    <row r="147">
      <c r="A147" s="6">
        <f>IFERROR(VLOOKUP($B147,Company_Cat!$B$2:$E$623,2,FALSE),"")</f>
        <v/>
      </c>
      <c r="B147" s="4" t="n"/>
    </row>
    <row r="148">
      <c r="A148" s="6">
        <f>IFERROR(VLOOKUP($B148,Company_Cat!$B$2:$E$623,2,FALSE),"")</f>
        <v/>
      </c>
      <c r="B148" s="4" t="n"/>
    </row>
    <row r="149">
      <c r="A149" s="6">
        <f>IFERROR(VLOOKUP($B149,Company_Cat!$B$2:$E$623,2,FALSE),"")</f>
        <v/>
      </c>
      <c r="B149" s="4" t="n"/>
    </row>
    <row r="150">
      <c r="A150" s="6">
        <f>IFERROR(VLOOKUP($B150,Company_Cat!$B$2:$E$623,2,FALSE),"")</f>
        <v/>
      </c>
      <c r="B150" s="4" t="n"/>
    </row>
    <row r="151">
      <c r="A151" s="6">
        <f>IFERROR(VLOOKUP($B151,Company_Cat!$B$2:$E$623,2,FALSE),"")</f>
        <v/>
      </c>
      <c r="B151" s="4" t="n"/>
    </row>
    <row r="152">
      <c r="A152" s="6">
        <f>IFERROR(VLOOKUP($B152,Company_Cat!$B$2:$E$623,2,FALSE),"")</f>
        <v/>
      </c>
      <c r="B152" s="4" t="n"/>
    </row>
    <row r="153">
      <c r="A153" s="6">
        <f>IFERROR(VLOOKUP($B153,Company_Cat!$B$2:$E$623,2,FALSE),"")</f>
        <v/>
      </c>
      <c r="B153" s="4" t="n"/>
    </row>
    <row r="154">
      <c r="A154" s="6">
        <f>IFERROR(VLOOKUP($B154,Company_Cat!$B$2:$E$623,2,FALSE),"")</f>
        <v/>
      </c>
      <c r="B154" s="4" t="n"/>
    </row>
    <row r="155">
      <c r="A155" s="6">
        <f>IFERROR(VLOOKUP($B155,Company_Cat!$B$2:$E$623,2,FALSE),"")</f>
        <v/>
      </c>
      <c r="B155" s="4" t="n"/>
    </row>
    <row r="156">
      <c r="A156" s="6">
        <f>IFERROR(VLOOKUP($B156,Company_Cat!$B$2:$E$623,2,FALSE),"")</f>
        <v/>
      </c>
      <c r="B156" s="4" t="n"/>
    </row>
    <row r="157">
      <c r="A157" s="6">
        <f>IFERROR(VLOOKUP($B157,Company_Cat!$B$2:$E$623,2,FALSE),"")</f>
        <v/>
      </c>
      <c r="B157" s="4" t="n"/>
    </row>
    <row r="158">
      <c r="A158" s="6">
        <f>IFERROR(VLOOKUP($B158,Company_Cat!$B$2:$E$623,2,FALSE),"")</f>
        <v/>
      </c>
      <c r="B158" s="4" t="n"/>
    </row>
    <row r="159">
      <c r="A159" s="6">
        <f>IFERROR(VLOOKUP($B159,Company_Cat!$B$2:$E$623,2,FALSE),"")</f>
        <v/>
      </c>
      <c r="B159" s="4" t="n"/>
    </row>
    <row r="160">
      <c r="A160" s="6">
        <f>IFERROR(VLOOKUP($B160,Company_Cat!$B$2:$E$623,2,FALSE),"")</f>
        <v/>
      </c>
      <c r="B160" s="4" t="n"/>
    </row>
    <row r="161">
      <c r="A161" s="6">
        <f>IFERROR(VLOOKUP($B161,Company_Cat!$B$2:$E$623,2,FALSE),"")</f>
        <v/>
      </c>
      <c r="B161" s="4" t="n"/>
    </row>
    <row r="162">
      <c r="A162" s="6">
        <f>IFERROR(VLOOKUP($B162,Company_Cat!$B$2:$E$623,2,FALSE),"")</f>
        <v/>
      </c>
      <c r="B162" s="4" t="n"/>
    </row>
    <row r="163">
      <c r="A163" s="6">
        <f>IFERROR(VLOOKUP($B163,Company_Cat!$B$2:$E$623,2,FALSE),"")</f>
        <v/>
      </c>
      <c r="B163" s="4" t="n"/>
    </row>
    <row r="164">
      <c r="A164" s="6">
        <f>IFERROR(VLOOKUP($B164,Company_Cat!$B$2:$E$623,2,FALSE),"")</f>
        <v/>
      </c>
      <c r="B164" s="4" t="n"/>
    </row>
    <row r="165">
      <c r="A165" s="6">
        <f>IFERROR(VLOOKUP($B165,Company_Cat!$B$2:$E$623,2,FALSE),"")</f>
        <v/>
      </c>
      <c r="B165" s="4" t="n"/>
    </row>
    <row r="166">
      <c r="A166" s="6">
        <f>IFERROR(VLOOKUP($B166,Company_Cat!$B$2:$E$623,2,FALSE),"")</f>
        <v/>
      </c>
      <c r="B166" s="4" t="n"/>
    </row>
    <row r="167">
      <c r="A167" s="6">
        <f>IFERROR(VLOOKUP($B167,Company_Cat!$B$2:$E$623,2,FALSE),"")</f>
        <v/>
      </c>
      <c r="B167" s="4" t="n"/>
    </row>
    <row r="168">
      <c r="A168" s="6">
        <f>IFERROR(VLOOKUP($B168,Company_Cat!$B$2:$E$623,2,FALSE),"")</f>
        <v/>
      </c>
      <c r="B168" s="4" t="n"/>
    </row>
    <row r="169">
      <c r="A169" s="6">
        <f>IFERROR(VLOOKUP($B169,Company_Cat!$B$2:$E$623,2,FALSE),"")</f>
        <v/>
      </c>
      <c r="B169" s="4" t="n"/>
    </row>
    <row r="170">
      <c r="A170" s="6">
        <f>IFERROR(VLOOKUP($B170,Company_Cat!$B$2:$E$623,2,FALSE),"")</f>
        <v/>
      </c>
      <c r="B170" s="4" t="n"/>
    </row>
    <row r="171">
      <c r="A171" s="6">
        <f>IFERROR(VLOOKUP($B171,Company_Cat!$B$2:$E$623,2,FALSE),"")</f>
        <v/>
      </c>
      <c r="B171" s="4" t="n"/>
    </row>
    <row r="172">
      <c r="A172" s="6">
        <f>IFERROR(VLOOKUP($B172,Company_Cat!$B$2:$E$623,2,FALSE),"")</f>
        <v/>
      </c>
      <c r="B172" s="4" t="n"/>
    </row>
    <row r="173">
      <c r="A173" s="6">
        <f>IFERROR(VLOOKUP($B173,Company_Cat!$B$2:$E$623,2,FALSE),"")</f>
        <v/>
      </c>
      <c r="B173" s="4" t="n"/>
    </row>
    <row r="174">
      <c r="A174" s="6">
        <f>IFERROR(VLOOKUP($B174,Company_Cat!$B$2:$E$623,2,FALSE),"")</f>
        <v/>
      </c>
      <c r="B174" s="4" t="n"/>
    </row>
    <row r="175">
      <c r="A175" s="6">
        <f>IFERROR(VLOOKUP($B175,Company_Cat!$B$2:$E$623,2,FALSE),"")</f>
        <v/>
      </c>
      <c r="B175" s="4" t="n"/>
    </row>
    <row r="176">
      <c r="A176" s="6">
        <f>IFERROR(VLOOKUP($B176,Company_Cat!$B$2:$E$623,2,FALSE),"")</f>
        <v/>
      </c>
      <c r="B176" s="4" t="n"/>
    </row>
    <row r="177">
      <c r="A177" s="6">
        <f>IFERROR(VLOOKUP($B177,Company_Cat!$B$2:$E$623,2,FALSE),"")</f>
        <v/>
      </c>
      <c r="B177" s="4" t="n"/>
    </row>
    <row r="178">
      <c r="A178" s="6">
        <f>IFERROR(VLOOKUP($B178,Company_Cat!$B$2:$E$623,2,FALSE),"")</f>
        <v/>
      </c>
      <c r="B178" s="4" t="n"/>
    </row>
    <row r="179">
      <c r="A179" s="6">
        <f>IFERROR(VLOOKUP($B179,Company_Cat!$B$2:$E$623,2,FALSE),"")</f>
        <v/>
      </c>
      <c r="B179" s="4" t="n"/>
    </row>
    <row r="180">
      <c r="A180" s="6">
        <f>IFERROR(VLOOKUP($B180,Company_Cat!$B$2:$E$623,2,FALSE),"")</f>
        <v/>
      </c>
      <c r="B180" s="4" t="n"/>
    </row>
    <row r="181">
      <c r="A181" s="6">
        <f>IFERROR(VLOOKUP($B181,Company_Cat!$B$2:$E$623,2,FALSE),"")</f>
        <v/>
      </c>
      <c r="B181" s="4" t="n"/>
    </row>
    <row r="182">
      <c r="A182" s="6">
        <f>IFERROR(VLOOKUP($B182,Company_Cat!$B$2:$E$623,2,FALSE),"")</f>
        <v/>
      </c>
      <c r="B182" s="4" t="n"/>
    </row>
    <row r="183">
      <c r="A183" s="6">
        <f>IFERROR(VLOOKUP($B183,Company_Cat!$B$2:$E$623,2,FALSE),"")</f>
        <v/>
      </c>
      <c r="B183" s="4" t="n"/>
    </row>
    <row r="184">
      <c r="A184" s="6">
        <f>IFERROR(VLOOKUP($B184,Company_Cat!$B$2:$E$623,2,FALSE),"")</f>
        <v/>
      </c>
      <c r="B184" s="4" t="n"/>
    </row>
    <row r="185">
      <c r="A185" s="6">
        <f>IFERROR(VLOOKUP($B185,Company_Cat!$B$2:$E$623,2,FALSE),"")</f>
        <v/>
      </c>
      <c r="B185" s="4" t="n"/>
    </row>
    <row r="186">
      <c r="A186" s="6">
        <f>IFERROR(VLOOKUP($B186,Company_Cat!$B$2:$E$623,2,FALSE),"")</f>
        <v/>
      </c>
      <c r="B186" s="4" t="n"/>
    </row>
    <row r="187">
      <c r="A187" s="6">
        <f>IFERROR(VLOOKUP($B187,Company_Cat!$B$2:$E$623,2,FALSE),"")</f>
        <v/>
      </c>
      <c r="B187" s="4" t="n"/>
    </row>
    <row r="188">
      <c r="A188" s="6">
        <f>IFERROR(VLOOKUP($B188,Company_Cat!$B$2:$E$623,2,FALSE),"")</f>
        <v/>
      </c>
      <c r="B188" s="4" t="n"/>
    </row>
    <row r="189">
      <c r="A189" s="6">
        <f>IFERROR(VLOOKUP($B189,Company_Cat!$B$2:$E$623,2,FALSE),"")</f>
        <v/>
      </c>
      <c r="B189" s="4" t="n"/>
    </row>
    <row r="190">
      <c r="A190" s="6">
        <f>IFERROR(VLOOKUP($B190,Company_Cat!$B$2:$E$623,2,FALSE),"")</f>
        <v/>
      </c>
      <c r="B190" s="4" t="n"/>
    </row>
    <row r="191">
      <c r="A191" s="6">
        <f>IFERROR(VLOOKUP($B191,Company_Cat!$B$2:$E$623,2,FALSE),"")</f>
        <v/>
      </c>
      <c r="B191" s="4" t="n"/>
    </row>
    <row r="192">
      <c r="A192" s="6">
        <f>IFERROR(VLOOKUP($B192,Company_Cat!$B$2:$E$623,2,FALSE),"")</f>
        <v/>
      </c>
      <c r="B192" s="4" t="n"/>
    </row>
    <row r="193">
      <c r="A193" s="6">
        <f>IFERROR(VLOOKUP($B193,Company_Cat!$B$2:$E$623,2,FALSE),"")</f>
        <v/>
      </c>
      <c r="B193" s="4" t="n"/>
    </row>
    <row r="194">
      <c r="A194" s="6">
        <f>IFERROR(VLOOKUP($B194,Company_Cat!$B$2:$E$623,2,FALSE),"")</f>
        <v/>
      </c>
      <c r="B194" s="4" t="n"/>
    </row>
    <row r="195">
      <c r="A195" s="6">
        <f>IFERROR(VLOOKUP($B195,Company_Cat!$B$2:$E$623,2,FALSE),"")</f>
        <v/>
      </c>
      <c r="B195" s="4" t="n"/>
    </row>
    <row r="196">
      <c r="A196" s="6">
        <f>IFERROR(VLOOKUP($B196,Company_Cat!$B$2:$E$623,2,FALSE),"")</f>
        <v/>
      </c>
      <c r="B196" s="4" t="n"/>
    </row>
    <row r="197">
      <c r="A197" s="6">
        <f>IFERROR(VLOOKUP($B197,Company_Cat!$B$2:$E$623,2,FALSE),"")</f>
        <v/>
      </c>
      <c r="B197" s="4" t="n"/>
    </row>
    <row r="198">
      <c r="A198" s="6">
        <f>IFERROR(VLOOKUP($B198,Company_Cat!$B$2:$E$623,2,FALSE),"")</f>
        <v/>
      </c>
      <c r="B198" s="4" t="n"/>
    </row>
    <row r="199">
      <c r="A199" s="6">
        <f>IFERROR(VLOOKUP($B199,Company_Cat!$B$2:$E$623,2,FALSE),"")</f>
        <v/>
      </c>
      <c r="B199" s="4" t="n"/>
    </row>
    <row r="200">
      <c r="A200" s="6">
        <f>IFERROR(VLOOKUP($B200,Company_Cat!$B$2:$E$623,2,FALSE),"")</f>
        <v/>
      </c>
      <c r="B200" s="4" t="n"/>
    </row>
    <row r="201">
      <c r="A201" s="6">
        <f>IFERROR(VLOOKUP($B201,Company_Cat!$B$2:$E$623,2,FALSE),"")</f>
        <v/>
      </c>
      <c r="B201" s="4" t="n"/>
    </row>
    <row r="202">
      <c r="A202" s="6">
        <f>IFERROR(VLOOKUP($B202,Company_Cat!$B$2:$E$623,2,FALSE),"")</f>
        <v/>
      </c>
      <c r="B202" s="4" t="n"/>
    </row>
    <row r="203">
      <c r="A203" s="6">
        <f>IFERROR(VLOOKUP($B203,Company_Cat!$B$2:$E$623,2,FALSE),"")</f>
        <v/>
      </c>
      <c r="B203" s="4" t="n"/>
    </row>
    <row r="204">
      <c r="A204" s="6">
        <f>IFERROR(VLOOKUP($B204,Company_Cat!$B$2:$E$623,2,FALSE),"")</f>
        <v/>
      </c>
      <c r="B204" s="4" t="n"/>
    </row>
    <row r="205">
      <c r="A205" s="6">
        <f>IFERROR(VLOOKUP($B205,Company_Cat!$B$2:$E$623,2,FALSE),"")</f>
        <v/>
      </c>
      <c r="B205" s="4" t="n"/>
    </row>
    <row r="206">
      <c r="A206" s="6">
        <f>IFERROR(VLOOKUP($B206,Company_Cat!$B$2:$E$623,2,FALSE),"")</f>
        <v/>
      </c>
      <c r="B206" s="4" t="n"/>
    </row>
    <row r="207">
      <c r="A207" s="6">
        <f>IFERROR(VLOOKUP($B207,Company_Cat!$B$2:$E$623,2,FALSE),"")</f>
        <v/>
      </c>
      <c r="B207" s="4" t="n"/>
    </row>
    <row r="208">
      <c r="A208" s="6">
        <f>IFERROR(VLOOKUP($B208,Company_Cat!$B$2:$E$623,2,FALSE),"")</f>
        <v/>
      </c>
      <c r="B208" s="4" t="n"/>
    </row>
    <row r="209">
      <c r="A209" s="6">
        <f>IFERROR(VLOOKUP($B209,Company_Cat!$B$2:$E$623,2,FALSE),"")</f>
        <v/>
      </c>
      <c r="B209" s="4" t="n"/>
    </row>
    <row r="210">
      <c r="A210" s="6">
        <f>IFERROR(VLOOKUP($B210,Company_Cat!$B$2:$E$623,2,FALSE),"")</f>
        <v/>
      </c>
      <c r="B210" s="4" t="n"/>
    </row>
    <row r="211">
      <c r="A211" s="6">
        <f>IFERROR(VLOOKUP($B211,Company_Cat!$B$2:$E$623,2,FALSE),"")</f>
        <v/>
      </c>
      <c r="B211" s="4" t="n"/>
    </row>
    <row r="212">
      <c r="A212" s="6">
        <f>IFERROR(VLOOKUP($B212,Company_Cat!$B$2:$E$623,2,FALSE),"")</f>
        <v/>
      </c>
      <c r="B212" s="4" t="n"/>
    </row>
    <row r="213">
      <c r="A213" s="6">
        <f>IFERROR(VLOOKUP($B213,Company_Cat!$B$2:$E$623,2,FALSE),"")</f>
        <v/>
      </c>
      <c r="B213" s="4" t="n"/>
    </row>
    <row r="214">
      <c r="A214" s="6">
        <f>IFERROR(VLOOKUP($B214,Company_Cat!$B$2:$E$623,2,FALSE),"")</f>
        <v/>
      </c>
      <c r="B214" s="4" t="n"/>
    </row>
    <row r="215">
      <c r="A215" s="6">
        <f>IFERROR(VLOOKUP($B215,Company_Cat!$B$2:$E$623,2,FALSE),"")</f>
        <v/>
      </c>
      <c r="B215" s="4" t="n"/>
    </row>
    <row r="216">
      <c r="A216" s="6">
        <f>IFERROR(VLOOKUP($B216,Company_Cat!$B$2:$E$623,2,FALSE),"")</f>
        <v/>
      </c>
      <c r="B216" s="4" t="n"/>
    </row>
    <row r="217">
      <c r="A217" s="6">
        <f>IFERROR(VLOOKUP($B217,Company_Cat!$B$2:$E$623,2,FALSE),"")</f>
        <v/>
      </c>
      <c r="B217" s="4" t="n"/>
    </row>
    <row r="218">
      <c r="A218" s="6">
        <f>IFERROR(VLOOKUP($B218,Company_Cat!$B$2:$E$623,2,FALSE),"")</f>
        <v/>
      </c>
      <c r="B218" s="4" t="n"/>
    </row>
    <row r="219">
      <c r="A219" s="6">
        <f>IFERROR(VLOOKUP($B219,Company_Cat!$B$2:$E$623,2,FALSE),"")</f>
        <v/>
      </c>
      <c r="B219" s="4" t="n"/>
    </row>
    <row r="220">
      <c r="A220" s="6">
        <f>IFERROR(VLOOKUP($B220,Company_Cat!$B$2:$E$623,2,FALSE),"")</f>
        <v/>
      </c>
      <c r="B220" s="4" t="n"/>
    </row>
    <row r="221">
      <c r="A221" s="6">
        <f>IFERROR(VLOOKUP($B221,Company_Cat!$B$2:$E$623,2,FALSE),"")</f>
        <v/>
      </c>
      <c r="B221" s="4" t="n"/>
    </row>
    <row r="222">
      <c r="A222" s="6">
        <f>IFERROR(VLOOKUP($B222,Company_Cat!$B$2:$E$623,2,FALSE),"")</f>
        <v/>
      </c>
      <c r="B222" s="4" t="n"/>
    </row>
    <row r="223">
      <c r="A223" s="6">
        <f>IFERROR(VLOOKUP($B223,Company_Cat!$B$2:$E$623,2,FALSE),"")</f>
        <v/>
      </c>
      <c r="B223" s="4" t="n"/>
    </row>
    <row r="224">
      <c r="A224" s="6">
        <f>IFERROR(VLOOKUP($B224,Company_Cat!$B$2:$E$623,2,FALSE),"")</f>
        <v/>
      </c>
      <c r="B224" s="4" t="n"/>
    </row>
    <row r="225">
      <c r="A225" s="6">
        <f>IFERROR(VLOOKUP($B225,Company_Cat!$B$2:$E$623,2,FALSE),"")</f>
        <v/>
      </c>
      <c r="B225" s="4" t="n"/>
    </row>
    <row r="226">
      <c r="A226" s="6">
        <f>IFERROR(VLOOKUP($B226,Company_Cat!$B$2:$E$623,2,FALSE),"")</f>
        <v/>
      </c>
      <c r="B226" s="4" t="n"/>
    </row>
    <row r="227">
      <c r="A227" s="6">
        <f>IFERROR(VLOOKUP($B227,Company_Cat!$B$2:$E$623,2,FALSE),"")</f>
        <v/>
      </c>
      <c r="B227" s="4" t="n"/>
    </row>
    <row r="228">
      <c r="A228" s="6">
        <f>IFERROR(VLOOKUP($B228,Company_Cat!$B$2:$E$623,2,FALSE),"")</f>
        <v/>
      </c>
      <c r="B228" s="4" t="n"/>
    </row>
    <row r="229">
      <c r="A229" s="6">
        <f>IFERROR(VLOOKUP($B229,Company_Cat!$B$2:$E$623,2,FALSE),"")</f>
        <v/>
      </c>
      <c r="B229" s="4" t="n"/>
    </row>
    <row r="230">
      <c r="A230" s="6">
        <f>IFERROR(VLOOKUP($B230,Company_Cat!$B$2:$E$623,2,FALSE),"")</f>
        <v/>
      </c>
      <c r="B230" s="4" t="n"/>
    </row>
    <row r="231">
      <c r="A231" s="6">
        <f>IFERROR(VLOOKUP($B231,Company_Cat!$B$2:$E$623,2,FALSE),"")</f>
        <v/>
      </c>
      <c r="B231" s="4" t="n"/>
    </row>
    <row r="232">
      <c r="A232" s="6">
        <f>IFERROR(VLOOKUP($B232,Company_Cat!$B$2:$E$623,2,FALSE),"")</f>
        <v/>
      </c>
      <c r="B232" s="4" t="n"/>
    </row>
    <row r="233">
      <c r="A233" s="6">
        <f>IFERROR(VLOOKUP($B233,Company_Cat!$B$2:$E$623,2,FALSE),"")</f>
        <v/>
      </c>
      <c r="B233" s="4" t="n"/>
    </row>
    <row r="234">
      <c r="A234" s="6">
        <f>IFERROR(VLOOKUP($B234,Company_Cat!$B$2:$E$623,2,FALSE),"")</f>
        <v/>
      </c>
      <c r="B234" s="4" t="n"/>
    </row>
    <row r="235">
      <c r="A235" s="6">
        <f>IFERROR(VLOOKUP($B235,Company_Cat!$B$2:$E$623,2,FALSE),"")</f>
        <v/>
      </c>
      <c r="B235" s="4" t="n"/>
    </row>
    <row r="236">
      <c r="A236" s="6">
        <f>IFERROR(VLOOKUP($B236,Company_Cat!$B$2:$E$623,2,FALSE),"")</f>
        <v/>
      </c>
      <c r="B236" s="4" t="n"/>
    </row>
    <row r="237">
      <c r="A237" s="6">
        <f>IFERROR(VLOOKUP($B237,Company_Cat!$B$2:$E$623,2,FALSE),"")</f>
        <v/>
      </c>
      <c r="B237" s="4" t="n"/>
    </row>
    <row r="238">
      <c r="A238" s="6">
        <f>IFERROR(VLOOKUP($B238,Company_Cat!$B$2:$E$623,2,FALSE),"")</f>
        <v/>
      </c>
      <c r="B238" s="4" t="n"/>
    </row>
    <row r="239">
      <c r="A239" s="6">
        <f>IFERROR(VLOOKUP($B239,Company_Cat!$B$2:$E$623,2,FALSE),"")</f>
        <v/>
      </c>
      <c r="B239" s="4" t="n"/>
    </row>
    <row r="240">
      <c r="A240" s="6">
        <f>IFERROR(VLOOKUP($B240,Company_Cat!$B$2:$E$623,2,FALSE),"")</f>
        <v/>
      </c>
      <c r="B240" s="4" t="n"/>
    </row>
    <row r="241">
      <c r="A241" s="6">
        <f>IFERROR(VLOOKUP($B241,Company_Cat!$B$2:$E$623,2,FALSE),"")</f>
        <v/>
      </c>
      <c r="B241" s="4" t="n"/>
    </row>
    <row r="242">
      <c r="A242" s="6">
        <f>IFERROR(VLOOKUP($B242,Company_Cat!$B$2:$E$623,2,FALSE),"")</f>
        <v/>
      </c>
      <c r="B242" s="4" t="n"/>
    </row>
    <row r="243">
      <c r="A243" s="6">
        <f>IFERROR(VLOOKUP($B243,Company_Cat!$B$2:$E$623,2,FALSE),"")</f>
        <v/>
      </c>
      <c r="B243" s="4" t="n"/>
    </row>
    <row r="244">
      <c r="A244" s="6">
        <f>IFERROR(VLOOKUP($B244,Company_Cat!$B$2:$E$623,2,FALSE),"")</f>
        <v/>
      </c>
      <c r="B244" s="4" t="n"/>
    </row>
    <row r="245">
      <c r="A245" s="6">
        <f>IFERROR(VLOOKUP($B245,Company_Cat!$B$2:$E$623,2,FALSE),"")</f>
        <v/>
      </c>
      <c r="B245" s="4" t="n"/>
    </row>
    <row r="246">
      <c r="A246" s="6">
        <f>IFERROR(VLOOKUP($B246,Company_Cat!$B$2:$E$623,2,FALSE),"")</f>
        <v/>
      </c>
      <c r="B246" s="4" t="n"/>
    </row>
    <row r="247">
      <c r="A247" s="6">
        <f>IFERROR(VLOOKUP($B247,Company_Cat!$B$2:$E$623,2,FALSE),"")</f>
        <v/>
      </c>
      <c r="B247" s="4" t="n"/>
    </row>
    <row r="248">
      <c r="A248" s="6">
        <f>IFERROR(VLOOKUP($B248,Company_Cat!$B$2:$E$623,2,FALSE),"")</f>
        <v/>
      </c>
      <c r="B248" s="4" t="n"/>
    </row>
    <row r="249">
      <c r="A249" s="6">
        <f>IFERROR(VLOOKUP($B249,Company_Cat!$B$2:$E$623,2,FALSE),"")</f>
        <v/>
      </c>
      <c r="B249" s="4" t="n"/>
    </row>
    <row r="250">
      <c r="A250" s="6">
        <f>IFERROR(VLOOKUP($B250,Company_Cat!$B$2:$E$623,2,FALSE),"")</f>
        <v/>
      </c>
      <c r="B250" s="4" t="n"/>
    </row>
    <row r="251">
      <c r="A251" s="6">
        <f>IFERROR(VLOOKUP($B251,Company_Cat!$B$2:$E$623,2,FALSE),"")</f>
        <v/>
      </c>
      <c r="B251" s="4" t="n"/>
    </row>
    <row r="252">
      <c r="A252" s="6">
        <f>IFERROR(VLOOKUP($B252,Company_Cat!$B$2:$E$623,2,FALSE),"")</f>
        <v/>
      </c>
      <c r="B252" s="4" t="n"/>
    </row>
    <row r="253">
      <c r="A253" s="6">
        <f>IFERROR(VLOOKUP($B253,Company_Cat!$B$2:$E$623,2,FALSE),"")</f>
        <v/>
      </c>
      <c r="B253" s="4" t="n"/>
    </row>
    <row r="254">
      <c r="A254" s="6">
        <f>IFERROR(VLOOKUP($B254,Company_Cat!$B$2:$E$623,2,FALSE),"")</f>
        <v/>
      </c>
      <c r="B254" s="4" t="n"/>
    </row>
    <row r="255">
      <c r="A255" s="6">
        <f>IFERROR(VLOOKUP($B255,Company_Cat!$B$2:$E$623,2,FALSE),"")</f>
        <v/>
      </c>
      <c r="B255" s="4" t="n"/>
    </row>
    <row r="256">
      <c r="A256" s="6">
        <f>IFERROR(VLOOKUP($B256,Company_Cat!$B$2:$E$623,2,FALSE),"")</f>
        <v/>
      </c>
      <c r="B256" s="4" t="n"/>
    </row>
    <row r="257">
      <c r="A257" s="6">
        <f>IFERROR(VLOOKUP($B257,Company_Cat!$B$2:$E$623,2,FALSE),"")</f>
        <v/>
      </c>
      <c r="B257" s="4" t="n"/>
    </row>
    <row r="258">
      <c r="A258" s="6">
        <f>IFERROR(VLOOKUP($B258,Company_Cat!$B$2:$E$623,2,FALSE),"")</f>
        <v/>
      </c>
      <c r="B258" s="4" t="n"/>
    </row>
    <row r="259">
      <c r="A259" s="6">
        <f>IFERROR(VLOOKUP($B259,Company_Cat!$B$2:$E$623,2,FALSE),"")</f>
        <v/>
      </c>
      <c r="B259" s="4" t="n"/>
    </row>
    <row r="260">
      <c r="A260" s="6">
        <f>IFERROR(VLOOKUP($B260,Company_Cat!$B$2:$E$623,2,FALSE),"")</f>
        <v/>
      </c>
      <c r="B260" s="4" t="n"/>
    </row>
    <row r="261">
      <c r="A261" s="6">
        <f>IFERROR(VLOOKUP($B261,Company_Cat!$B$2:$E$623,2,FALSE),"")</f>
        <v/>
      </c>
      <c r="B261" s="4" t="n"/>
    </row>
    <row r="262">
      <c r="A262" s="6">
        <f>IFERROR(VLOOKUP($B262,Company_Cat!$B$2:$E$623,2,FALSE),"")</f>
        <v/>
      </c>
      <c r="B262" s="4" t="n"/>
    </row>
    <row r="263">
      <c r="A263" s="6">
        <f>IFERROR(VLOOKUP($B263,Company_Cat!$B$2:$E$623,2,FALSE),"")</f>
        <v/>
      </c>
      <c r="B263" s="4" t="n"/>
    </row>
    <row r="264">
      <c r="A264" s="6">
        <f>IFERROR(VLOOKUP($B264,Company_Cat!$B$2:$E$623,2,FALSE),"")</f>
        <v/>
      </c>
      <c r="B264" s="4" t="n"/>
    </row>
    <row r="265">
      <c r="A265" s="6">
        <f>IFERROR(VLOOKUP($B265,Company_Cat!$B$2:$E$623,2,FALSE),"")</f>
        <v/>
      </c>
      <c r="B265" s="4" t="n"/>
    </row>
    <row r="266">
      <c r="A266" s="6">
        <f>IFERROR(VLOOKUP($B266,Company_Cat!$B$2:$E$623,2,FALSE),"")</f>
        <v/>
      </c>
      <c r="B266" s="4" t="n"/>
    </row>
    <row r="267">
      <c r="A267" s="6">
        <f>IFERROR(VLOOKUP($B267,Company_Cat!$B$2:$E$623,2,FALSE),"")</f>
        <v/>
      </c>
      <c r="B267" s="4" t="n"/>
    </row>
    <row r="268">
      <c r="A268" s="6">
        <f>IFERROR(VLOOKUP($B268,Company_Cat!$B$2:$E$623,2,FALSE),"")</f>
        <v/>
      </c>
      <c r="B268" s="4" t="n"/>
    </row>
    <row r="269">
      <c r="A269" s="6">
        <f>IFERROR(VLOOKUP($B269,Company_Cat!$B$2:$E$623,2,FALSE),"")</f>
        <v/>
      </c>
      <c r="B269" s="4" t="n"/>
    </row>
    <row r="270">
      <c r="A270" s="6">
        <f>IFERROR(VLOOKUP($B270,Company_Cat!$B$2:$E$623,2,FALSE),"")</f>
        <v/>
      </c>
      <c r="B270" s="4" t="n"/>
    </row>
    <row r="271">
      <c r="A271" s="6">
        <f>IFERROR(VLOOKUP($B271,Company_Cat!$B$2:$E$623,2,FALSE),"")</f>
        <v/>
      </c>
      <c r="B271" s="4" t="n"/>
    </row>
    <row r="272">
      <c r="A272" s="6">
        <f>IFERROR(VLOOKUP($B272,Company_Cat!$B$2:$E$623,2,FALSE),"")</f>
        <v/>
      </c>
      <c r="B272" s="4" t="n"/>
    </row>
    <row r="273">
      <c r="A273" s="6">
        <f>IFERROR(VLOOKUP($B273,Company_Cat!$B$2:$E$623,2,FALSE),"")</f>
        <v/>
      </c>
      <c r="B273" s="4" t="n"/>
    </row>
    <row r="274">
      <c r="A274" s="6">
        <f>IFERROR(VLOOKUP($B274,Company_Cat!$B$2:$E$623,2,FALSE),"")</f>
        <v/>
      </c>
      <c r="B274" s="4" t="n"/>
    </row>
    <row r="275">
      <c r="A275" s="6">
        <f>IFERROR(VLOOKUP($B275,Company_Cat!$B$2:$E$623,2,FALSE),"")</f>
        <v/>
      </c>
      <c r="B275" s="4" t="n"/>
    </row>
    <row r="276">
      <c r="A276" s="6">
        <f>IFERROR(VLOOKUP($B276,Company_Cat!$B$2:$E$623,2,FALSE),"")</f>
        <v/>
      </c>
      <c r="B276" s="4" t="n"/>
    </row>
    <row r="277">
      <c r="A277" s="6">
        <f>IFERROR(VLOOKUP($B277,Company_Cat!$B$2:$E$623,2,FALSE),"")</f>
        <v/>
      </c>
      <c r="B277" s="4" t="n"/>
    </row>
    <row r="278">
      <c r="A278" s="6">
        <f>IFERROR(VLOOKUP($B278,Company_Cat!$B$2:$E$623,2,FALSE),"")</f>
        <v/>
      </c>
      <c r="B278" s="4" t="n"/>
    </row>
    <row r="279">
      <c r="A279" s="6">
        <f>IFERROR(VLOOKUP($B279,Company_Cat!$B$2:$E$623,2,FALSE),"")</f>
        <v/>
      </c>
      <c r="B279" s="4" t="n"/>
    </row>
    <row r="280">
      <c r="A280" s="6">
        <f>IFERROR(VLOOKUP($B280,Company_Cat!$B$2:$E$623,2,FALSE),"")</f>
        <v/>
      </c>
      <c r="B280" s="4" t="n"/>
    </row>
    <row r="281">
      <c r="A281" s="6">
        <f>IFERROR(VLOOKUP($B281,Company_Cat!$B$2:$E$623,2,FALSE),"")</f>
        <v/>
      </c>
      <c r="B281" s="4" t="n"/>
    </row>
    <row r="282">
      <c r="A282" s="6">
        <f>IFERROR(VLOOKUP($B282,Company_Cat!$B$2:$E$623,2,FALSE),"")</f>
        <v/>
      </c>
      <c r="B282" s="4" t="n"/>
    </row>
    <row r="283">
      <c r="A283" s="6">
        <f>IFERROR(VLOOKUP($B283,Company_Cat!$B$2:$E$623,2,FALSE),"")</f>
        <v/>
      </c>
      <c r="B283" s="4" t="n"/>
    </row>
    <row r="284">
      <c r="A284" s="6">
        <f>IFERROR(VLOOKUP($B284,Company_Cat!$B$2:$E$623,2,FALSE),"")</f>
        <v/>
      </c>
      <c r="B284" s="4" t="n"/>
    </row>
    <row r="285">
      <c r="A285" s="6">
        <f>IFERROR(VLOOKUP($B285,Company_Cat!$B$2:$E$623,2,FALSE),"")</f>
        <v/>
      </c>
      <c r="B285" s="4" t="n"/>
    </row>
    <row r="286">
      <c r="A286" s="6">
        <f>IFERROR(VLOOKUP($B286,Company_Cat!$B$2:$E$623,2,FALSE),"")</f>
        <v/>
      </c>
      <c r="B286" s="4" t="n"/>
    </row>
    <row r="287">
      <c r="A287" s="6">
        <f>IFERROR(VLOOKUP($B287,Company_Cat!$B$2:$E$623,2,FALSE),"")</f>
        <v/>
      </c>
      <c r="B287" s="4" t="n"/>
    </row>
    <row r="288">
      <c r="A288" s="6">
        <f>IFERROR(VLOOKUP($B288,Company_Cat!$B$2:$E$623,2,FALSE),"")</f>
        <v/>
      </c>
      <c r="B288" s="4" t="n"/>
    </row>
    <row r="289">
      <c r="A289" s="6">
        <f>IFERROR(VLOOKUP($B289,Company_Cat!$B$2:$E$623,2,FALSE),"")</f>
        <v/>
      </c>
      <c r="B289" s="4" t="n"/>
    </row>
    <row r="290">
      <c r="A290" s="6">
        <f>IFERROR(VLOOKUP($B290,Company_Cat!$B$2:$E$623,2,FALSE),"")</f>
        <v/>
      </c>
      <c r="B290" s="4" t="n"/>
    </row>
    <row r="291">
      <c r="A291" s="6">
        <f>IFERROR(VLOOKUP($B291,Company_Cat!$B$2:$E$623,2,FALSE),"")</f>
        <v/>
      </c>
      <c r="B291" s="4" t="n"/>
    </row>
    <row r="292">
      <c r="A292" s="6">
        <f>IFERROR(VLOOKUP($B292,Company_Cat!$B$2:$E$623,2,FALSE),"")</f>
        <v/>
      </c>
      <c r="B292" s="4" t="n"/>
    </row>
    <row r="293">
      <c r="A293" s="6">
        <f>IFERROR(VLOOKUP($B293,Company_Cat!$B$2:$E$623,2,FALSE),"")</f>
        <v/>
      </c>
      <c r="B293" s="4" t="n"/>
    </row>
    <row r="294">
      <c r="A294" s="6">
        <f>IFERROR(VLOOKUP($B294,Company_Cat!$B$2:$E$623,2,FALSE),"")</f>
        <v/>
      </c>
      <c r="B294" s="4" t="n"/>
    </row>
    <row r="295">
      <c r="A295" s="6">
        <f>IFERROR(VLOOKUP($B295,Company_Cat!$B$2:$E$623,2,FALSE),"")</f>
        <v/>
      </c>
      <c r="B295" s="4" t="n"/>
    </row>
    <row r="296">
      <c r="A296" s="6">
        <f>IFERROR(VLOOKUP($B296,Company_Cat!$B$2:$E$623,2,FALSE),"")</f>
        <v/>
      </c>
      <c r="B296" s="4" t="n"/>
    </row>
    <row r="297">
      <c r="A297" s="6">
        <f>IFERROR(VLOOKUP($B297,Company_Cat!$B$2:$E$623,2,FALSE),"")</f>
        <v/>
      </c>
      <c r="B297" s="4" t="n"/>
    </row>
    <row r="298">
      <c r="A298" s="6">
        <f>IFERROR(VLOOKUP($B298,Company_Cat!$B$2:$E$623,2,FALSE),"")</f>
        <v/>
      </c>
      <c r="B298" s="4" t="n"/>
    </row>
    <row r="299">
      <c r="A299" s="6">
        <f>IFERROR(VLOOKUP($B299,Company_Cat!$B$2:$E$623,2,FALSE),"")</f>
        <v/>
      </c>
      <c r="B299" s="4" t="n"/>
    </row>
    <row r="300">
      <c r="A300" s="6">
        <f>IFERROR(VLOOKUP($B300,Company_Cat!$B$2:$E$623,2,FALSE),"")</f>
        <v/>
      </c>
      <c r="B300" s="4" t="n"/>
    </row>
    <row r="301">
      <c r="A301" s="6">
        <f>IFERROR(VLOOKUP($B301,Company_Cat!$B$2:$E$623,2,FALSE),"")</f>
        <v/>
      </c>
      <c r="B301" s="4" t="n"/>
    </row>
    <row r="302">
      <c r="A302" s="6">
        <f>IFERROR(VLOOKUP($B302,Company_Cat!$B$2:$E$623,2,FALSE),"")</f>
        <v/>
      </c>
      <c r="B302" s="4" t="n"/>
    </row>
    <row r="303">
      <c r="A303" s="6">
        <f>IFERROR(VLOOKUP($B303,Company_Cat!$B$2:$E$623,2,FALSE),"")</f>
        <v/>
      </c>
      <c r="B303" s="4" t="n"/>
    </row>
    <row r="304">
      <c r="A304" s="6">
        <f>IFERROR(VLOOKUP($B304,Company_Cat!$B$2:$E$623,2,FALSE),"")</f>
        <v/>
      </c>
      <c r="B304" s="4" t="n"/>
    </row>
    <row r="305">
      <c r="A305" s="6">
        <f>IFERROR(VLOOKUP($B305,Company_Cat!$B$2:$E$623,2,FALSE),"")</f>
        <v/>
      </c>
      <c r="B305" s="4" t="n"/>
    </row>
    <row r="306">
      <c r="A306" s="6">
        <f>IFERROR(VLOOKUP($B306,Company_Cat!$B$2:$E$623,2,FALSE),"")</f>
        <v/>
      </c>
      <c r="B306" s="4" t="n"/>
    </row>
    <row r="307">
      <c r="A307" s="6">
        <f>IFERROR(VLOOKUP($B307,Company_Cat!$B$2:$E$623,2,FALSE),"")</f>
        <v/>
      </c>
      <c r="B307" s="4" t="n"/>
    </row>
    <row r="308">
      <c r="A308" s="6">
        <f>IFERROR(VLOOKUP($B308,Company_Cat!$B$2:$E$623,2,FALSE),"")</f>
        <v/>
      </c>
      <c r="B308" s="4" t="n"/>
    </row>
    <row r="309">
      <c r="A309" s="6">
        <f>IFERROR(VLOOKUP($B309,Company_Cat!$B$2:$E$623,2,FALSE),"")</f>
        <v/>
      </c>
      <c r="B309" s="4" t="n"/>
    </row>
    <row r="310">
      <c r="A310" s="6">
        <f>IFERROR(VLOOKUP($B310,Company_Cat!$B$2:$E$623,2,FALSE),"")</f>
        <v/>
      </c>
      <c r="B310" s="4" t="n"/>
    </row>
    <row r="311">
      <c r="A311" s="6">
        <f>IFERROR(VLOOKUP($B311,Company_Cat!$B$2:$E$623,2,FALSE),"")</f>
        <v/>
      </c>
      <c r="B311" s="4" t="n"/>
    </row>
    <row r="312">
      <c r="A312" s="6">
        <f>IFERROR(VLOOKUP($B312,Company_Cat!$B$2:$E$623,2,FALSE),"")</f>
        <v/>
      </c>
      <c r="B312" s="4" t="n"/>
    </row>
    <row r="313">
      <c r="A313" s="6">
        <f>IFERROR(VLOOKUP($B313,Company_Cat!$B$2:$E$623,2,FALSE),"")</f>
        <v/>
      </c>
      <c r="B313" s="4" t="n"/>
    </row>
    <row r="314">
      <c r="A314" s="6">
        <f>IFERROR(VLOOKUP($B314,Company_Cat!$B$2:$E$623,2,FALSE),"")</f>
        <v/>
      </c>
      <c r="B314" s="4" t="n"/>
    </row>
    <row r="315">
      <c r="A315" s="6">
        <f>IFERROR(VLOOKUP($B315,Company_Cat!$B$2:$E$623,2,FALSE),"")</f>
        <v/>
      </c>
      <c r="B315" s="4" t="n"/>
    </row>
    <row r="316">
      <c r="A316" s="6">
        <f>IFERROR(VLOOKUP($B316,Company_Cat!$B$2:$E$623,2,FALSE),"")</f>
        <v/>
      </c>
      <c r="B316" s="4" t="n"/>
    </row>
    <row r="317">
      <c r="A317" s="6">
        <f>IFERROR(VLOOKUP($B317,Company_Cat!$B$2:$E$623,2,FALSE),"")</f>
        <v/>
      </c>
      <c r="B317" s="4" t="n"/>
    </row>
    <row r="318">
      <c r="A318" s="6">
        <f>IFERROR(VLOOKUP($B318,Company_Cat!$B$2:$E$623,2,FALSE),"")</f>
        <v/>
      </c>
      <c r="B318" s="4" t="n"/>
    </row>
    <row r="319">
      <c r="A319" s="6">
        <f>IFERROR(VLOOKUP($B319,Company_Cat!$B$2:$E$623,2,FALSE),"")</f>
        <v/>
      </c>
      <c r="B319" s="4" t="n"/>
    </row>
    <row r="320">
      <c r="A320" s="6">
        <f>IFERROR(VLOOKUP($B320,Company_Cat!$B$2:$E$623,2,FALSE),"")</f>
        <v/>
      </c>
      <c r="B320" s="4" t="n"/>
    </row>
    <row r="321">
      <c r="A321" s="6">
        <f>IFERROR(VLOOKUP($B321,Company_Cat!$B$2:$E$623,2,FALSE),"")</f>
        <v/>
      </c>
      <c r="B321" s="4" t="n"/>
    </row>
    <row r="322">
      <c r="A322" s="6">
        <f>IFERROR(VLOOKUP($B322,Company_Cat!$B$2:$E$623,2,FALSE),"")</f>
        <v/>
      </c>
      <c r="B322" s="4" t="n"/>
    </row>
    <row r="323">
      <c r="A323" s="6">
        <f>IFERROR(VLOOKUP($B323,Company_Cat!$B$2:$E$623,2,FALSE),"")</f>
        <v/>
      </c>
      <c r="B323" s="4" t="n"/>
    </row>
    <row r="324">
      <c r="A324" s="6">
        <f>IFERROR(VLOOKUP($B324,Company_Cat!$B$2:$E$623,2,FALSE),"")</f>
        <v/>
      </c>
      <c r="B324" s="4" t="n"/>
    </row>
    <row r="325">
      <c r="A325" s="6">
        <f>IFERROR(VLOOKUP($B325,Company_Cat!$B$2:$E$623,2,FALSE),"")</f>
        <v/>
      </c>
      <c r="B325" s="4" t="n"/>
    </row>
    <row r="326">
      <c r="A326" s="6">
        <f>IFERROR(VLOOKUP($B326,Company_Cat!$B$2:$E$623,2,FALSE),"")</f>
        <v/>
      </c>
      <c r="B326" s="4" t="n"/>
    </row>
    <row r="327">
      <c r="A327" s="6">
        <f>IFERROR(VLOOKUP($B327,Company_Cat!$B$2:$E$623,2,FALSE),"")</f>
        <v/>
      </c>
      <c r="B327" s="4" t="n"/>
    </row>
    <row r="328">
      <c r="A328" s="6">
        <f>IFERROR(VLOOKUP($B328,Company_Cat!$B$2:$E$623,2,FALSE),"")</f>
        <v/>
      </c>
      <c r="B328" s="4" t="n"/>
    </row>
    <row r="329">
      <c r="A329" s="6">
        <f>IFERROR(VLOOKUP($B329,Company_Cat!$B$2:$E$623,2,FALSE),"")</f>
        <v/>
      </c>
      <c r="B329" s="4" t="n"/>
    </row>
    <row r="330">
      <c r="A330" s="6">
        <f>IFERROR(VLOOKUP($B330,Company_Cat!$B$2:$E$623,2,FALSE),"")</f>
        <v/>
      </c>
      <c r="B330" s="4" t="n"/>
    </row>
    <row r="331">
      <c r="A331" s="6">
        <f>IFERROR(VLOOKUP($B331,Company_Cat!$B$2:$E$623,2,FALSE),"")</f>
        <v/>
      </c>
      <c r="B331" s="4" t="n"/>
    </row>
    <row r="332">
      <c r="A332" s="6">
        <f>IFERROR(VLOOKUP($B332,Company_Cat!$B$2:$E$623,2,FALSE),"")</f>
        <v/>
      </c>
      <c r="B332" s="4" t="n"/>
    </row>
    <row r="333">
      <c r="A333" s="6">
        <f>IFERROR(VLOOKUP($B333,Company_Cat!$B$2:$E$623,2,FALSE),"")</f>
        <v/>
      </c>
      <c r="B333" s="4" t="n"/>
    </row>
    <row r="334">
      <c r="A334" s="6">
        <f>IFERROR(VLOOKUP($B334,Company_Cat!$B$2:$E$623,2,FALSE),"")</f>
        <v/>
      </c>
      <c r="B334" s="4" t="n"/>
    </row>
    <row r="335">
      <c r="A335" s="6">
        <f>IFERROR(VLOOKUP($B335,Company_Cat!$B$2:$E$623,2,FALSE),"")</f>
        <v/>
      </c>
      <c r="B335" s="4" t="n"/>
    </row>
    <row r="336">
      <c r="A336" s="6">
        <f>IFERROR(VLOOKUP($B336,Company_Cat!$B$2:$E$623,2,FALSE),"")</f>
        <v/>
      </c>
      <c r="B336" s="4" t="n"/>
    </row>
    <row r="337">
      <c r="A337" s="6">
        <f>IFERROR(VLOOKUP($B337,Company_Cat!$B$2:$E$623,2,FALSE),"")</f>
        <v/>
      </c>
      <c r="B337" s="4" t="n"/>
    </row>
    <row r="338">
      <c r="A338" s="6">
        <f>IFERROR(VLOOKUP($B338,Company_Cat!$B$2:$E$623,2,FALSE),"")</f>
        <v/>
      </c>
      <c r="B338" s="4" t="n"/>
    </row>
    <row r="339">
      <c r="A339" s="6">
        <f>IFERROR(VLOOKUP($B339,Company_Cat!$B$2:$E$623,2,FALSE),"")</f>
        <v/>
      </c>
      <c r="B339" s="4" t="n"/>
    </row>
    <row r="340">
      <c r="A340" s="6">
        <f>IFERROR(VLOOKUP($B340,Company_Cat!$B$2:$E$623,2,FALSE),"")</f>
        <v/>
      </c>
      <c r="B340" s="4" t="n"/>
    </row>
    <row r="341">
      <c r="A341" s="6">
        <f>IFERROR(VLOOKUP($B341,Company_Cat!$B$2:$E$623,2,FALSE),"")</f>
        <v/>
      </c>
      <c r="B341" s="4" t="n"/>
    </row>
    <row r="342">
      <c r="A342" s="6">
        <f>IFERROR(VLOOKUP($B342,Company_Cat!$B$2:$E$623,2,FALSE),"")</f>
        <v/>
      </c>
      <c r="B342" s="4" t="n"/>
    </row>
    <row r="343">
      <c r="A343" s="6">
        <f>IFERROR(VLOOKUP($B343,Company_Cat!$B$2:$E$623,2,FALSE),"")</f>
        <v/>
      </c>
      <c r="B343" s="4" t="n"/>
    </row>
    <row r="344">
      <c r="A344" s="6">
        <f>IFERROR(VLOOKUP($B344,Company_Cat!$B$2:$E$623,2,FALSE),"")</f>
        <v/>
      </c>
      <c r="B344" s="4" t="n"/>
    </row>
    <row r="345">
      <c r="A345" s="6">
        <f>IFERROR(VLOOKUP($B345,Company_Cat!$B$2:$E$623,2,FALSE),"")</f>
        <v/>
      </c>
      <c r="B345" s="4" t="n"/>
    </row>
    <row r="346">
      <c r="A346" s="6">
        <f>IFERROR(VLOOKUP($B346,Company_Cat!$B$2:$E$623,2,FALSE),"")</f>
        <v/>
      </c>
      <c r="B346" s="4" t="n"/>
    </row>
    <row r="347">
      <c r="A347" s="6">
        <f>IFERROR(VLOOKUP($B347,Company_Cat!$B$2:$E$623,2,FALSE),"")</f>
        <v/>
      </c>
      <c r="B347" s="4" t="n"/>
    </row>
    <row r="348">
      <c r="A348" s="6">
        <f>IFERROR(VLOOKUP($B348,Company_Cat!$B$2:$E$623,2,FALSE),"")</f>
        <v/>
      </c>
      <c r="B348" s="4" t="n"/>
    </row>
    <row r="349">
      <c r="A349" s="6">
        <f>IFERROR(VLOOKUP($B349,Company_Cat!$B$2:$E$623,2,FALSE),"")</f>
        <v/>
      </c>
      <c r="B349" s="4" t="n"/>
    </row>
    <row r="350">
      <c r="A350" s="6">
        <f>IFERROR(VLOOKUP($B350,Company_Cat!$B$2:$E$623,2,FALSE),"")</f>
        <v/>
      </c>
      <c r="B350" s="4" t="n"/>
    </row>
    <row r="351">
      <c r="A351" s="6">
        <f>IFERROR(VLOOKUP($B351,Company_Cat!$B$2:$E$623,2,FALSE),"")</f>
        <v/>
      </c>
      <c r="B351" s="4" t="n"/>
    </row>
    <row r="352">
      <c r="A352" s="6">
        <f>IFERROR(VLOOKUP($B352,Company_Cat!$B$2:$E$623,2,FALSE),"")</f>
        <v/>
      </c>
      <c r="B352" s="4" t="n"/>
    </row>
    <row r="353">
      <c r="A353" s="6">
        <f>IFERROR(VLOOKUP($B353,Company_Cat!$B$2:$E$623,2,FALSE),"")</f>
        <v/>
      </c>
      <c r="B353" s="4" t="n"/>
    </row>
    <row r="354">
      <c r="A354" s="6">
        <f>IFERROR(VLOOKUP($B354,Company_Cat!$B$2:$E$623,2,FALSE),"")</f>
        <v/>
      </c>
      <c r="B354" s="4" t="n"/>
    </row>
    <row r="355">
      <c r="A355" s="6">
        <f>IFERROR(VLOOKUP($B355,Company_Cat!$B$2:$E$623,2,FALSE),"")</f>
        <v/>
      </c>
      <c r="B355" s="4" t="n"/>
    </row>
    <row r="356">
      <c r="A356" s="6">
        <f>IFERROR(VLOOKUP($B356,Company_Cat!$B$2:$E$623,2,FALSE),"")</f>
        <v/>
      </c>
      <c r="B356" s="4" t="n"/>
    </row>
    <row r="357">
      <c r="A357" s="6">
        <f>IFERROR(VLOOKUP($B357,Company_Cat!$B$2:$E$623,2,FALSE),"")</f>
        <v/>
      </c>
      <c r="B357" s="4" t="n"/>
    </row>
    <row r="358">
      <c r="A358" s="6">
        <f>IFERROR(VLOOKUP($B358,Company_Cat!$B$2:$E$623,2,FALSE),"")</f>
        <v/>
      </c>
      <c r="B358" s="4" t="n"/>
    </row>
    <row r="359">
      <c r="A359" s="6">
        <f>IFERROR(VLOOKUP($B359,Company_Cat!$B$2:$E$623,2,FALSE),"")</f>
        <v/>
      </c>
      <c r="B359" s="4" t="n"/>
    </row>
    <row r="360">
      <c r="A360" s="6">
        <f>IFERROR(VLOOKUP($B360,Company_Cat!$B$2:$E$623,2,FALSE),"")</f>
        <v/>
      </c>
      <c r="B360" s="4" t="n"/>
    </row>
    <row r="361">
      <c r="A361" s="6">
        <f>IFERROR(VLOOKUP($B361,Company_Cat!$B$2:$E$623,2,FALSE),"")</f>
        <v/>
      </c>
      <c r="B361" s="4" t="n"/>
    </row>
    <row r="362">
      <c r="A362" s="6">
        <f>IFERROR(VLOOKUP($B362,Company_Cat!$B$2:$E$623,2,FALSE),"")</f>
        <v/>
      </c>
      <c r="B362" s="4" t="n"/>
    </row>
    <row r="363">
      <c r="A363" s="6">
        <f>IFERROR(VLOOKUP($B363,Company_Cat!$B$2:$E$623,2,FALSE),"")</f>
        <v/>
      </c>
      <c r="B363" s="4" t="n"/>
    </row>
    <row r="364">
      <c r="A364" s="6">
        <f>IFERROR(VLOOKUP($B364,Company_Cat!$B$2:$E$623,2,FALSE),"")</f>
        <v/>
      </c>
      <c r="B364" s="4" t="n"/>
    </row>
    <row r="365">
      <c r="A365" s="6">
        <f>IFERROR(VLOOKUP($B365,Company_Cat!$B$2:$E$623,2,FALSE),"")</f>
        <v/>
      </c>
      <c r="B365" s="4" t="n"/>
    </row>
    <row r="366">
      <c r="A366" s="6">
        <f>IFERROR(VLOOKUP($B366,Company_Cat!$B$2:$E$623,2,FALSE),"")</f>
        <v/>
      </c>
      <c r="B366" s="4" t="n"/>
    </row>
    <row r="367">
      <c r="A367" s="6">
        <f>IFERROR(VLOOKUP($B367,Company_Cat!$B$2:$E$623,2,FALSE),"")</f>
        <v/>
      </c>
      <c r="B367" s="4" t="n"/>
    </row>
    <row r="368">
      <c r="A368" s="6">
        <f>IFERROR(VLOOKUP($B368,Company_Cat!$B$2:$E$623,2,FALSE),"")</f>
        <v/>
      </c>
      <c r="B368" s="4" t="n"/>
    </row>
    <row r="369">
      <c r="A369" s="6">
        <f>IFERROR(VLOOKUP($B369,Company_Cat!$B$2:$E$623,2,FALSE),"")</f>
        <v/>
      </c>
      <c r="B369" s="4" t="n"/>
    </row>
    <row r="370">
      <c r="A370" s="6">
        <f>IFERROR(VLOOKUP($B370,Company_Cat!$B$2:$E$623,2,FALSE),"")</f>
        <v/>
      </c>
      <c r="B370" s="4" t="n"/>
    </row>
    <row r="371">
      <c r="A371" s="6">
        <f>IFERROR(VLOOKUP($B371,Company_Cat!$B$2:$E$623,2,FALSE),"")</f>
        <v/>
      </c>
      <c r="B371" s="4" t="n"/>
    </row>
    <row r="372">
      <c r="A372" s="6">
        <f>IFERROR(VLOOKUP($B372,Company_Cat!$B$2:$E$623,2,FALSE),"")</f>
        <v/>
      </c>
      <c r="B372" s="4" t="n"/>
    </row>
    <row r="373">
      <c r="A373" s="6">
        <f>IFERROR(VLOOKUP($B373,Company_Cat!$B$2:$E$623,2,FALSE),"")</f>
        <v/>
      </c>
      <c r="B373" s="4" t="n"/>
    </row>
    <row r="374">
      <c r="A374" s="6">
        <f>IFERROR(VLOOKUP($B374,Company_Cat!$B$2:$E$623,2,FALSE),"")</f>
        <v/>
      </c>
      <c r="B374" s="4" t="n"/>
    </row>
    <row r="375">
      <c r="A375" s="6">
        <f>IFERROR(VLOOKUP($B375,Company_Cat!$B$2:$E$623,2,FALSE),"")</f>
        <v/>
      </c>
      <c r="B375" s="4" t="n"/>
    </row>
    <row r="376">
      <c r="A376" s="6">
        <f>IFERROR(VLOOKUP($B376,Company_Cat!$B$2:$E$623,2,FALSE),"")</f>
        <v/>
      </c>
      <c r="B376" s="4" t="n"/>
    </row>
    <row r="377">
      <c r="A377" s="6">
        <f>IFERROR(VLOOKUP($B377,Company_Cat!$B$2:$E$623,2,FALSE),"")</f>
        <v/>
      </c>
      <c r="B377" s="4" t="n"/>
    </row>
    <row r="378">
      <c r="A378" s="6">
        <f>IFERROR(VLOOKUP($B378,Company_Cat!$B$2:$E$623,2,FALSE),"")</f>
        <v/>
      </c>
      <c r="B378" s="4" t="n"/>
    </row>
    <row r="379">
      <c r="A379" s="6">
        <f>IFERROR(VLOOKUP($B379,Company_Cat!$B$2:$E$623,2,FALSE),"")</f>
        <v/>
      </c>
      <c r="B379" s="4" t="n"/>
    </row>
    <row r="380">
      <c r="A380" s="6">
        <f>IFERROR(VLOOKUP($B380,Company_Cat!$B$2:$E$623,2,FALSE),"")</f>
        <v/>
      </c>
      <c r="B380" s="4" t="n"/>
    </row>
    <row r="381">
      <c r="A381" s="6">
        <f>IFERROR(VLOOKUP($B381,Company_Cat!$B$2:$E$623,2,FALSE),"")</f>
        <v/>
      </c>
      <c r="B381" s="4" t="n"/>
    </row>
    <row r="382">
      <c r="A382" s="6">
        <f>IFERROR(VLOOKUP($B382,Company_Cat!$B$2:$E$623,2,FALSE),"")</f>
        <v/>
      </c>
      <c r="B382" s="4" t="n"/>
    </row>
    <row r="383">
      <c r="A383" s="6">
        <f>IFERROR(VLOOKUP($B383,Company_Cat!$B$2:$E$623,2,FALSE),"")</f>
        <v/>
      </c>
      <c r="B383" s="4" t="n"/>
    </row>
    <row r="384">
      <c r="A384" s="6">
        <f>IFERROR(VLOOKUP($B384,Company_Cat!$B$2:$E$623,2,FALSE),"")</f>
        <v/>
      </c>
      <c r="B384" s="4" t="n"/>
    </row>
    <row r="385">
      <c r="A385" s="6">
        <f>IFERROR(VLOOKUP($B385,Company_Cat!$B$2:$E$623,2,FALSE),"")</f>
        <v/>
      </c>
      <c r="B385" s="4" t="n"/>
    </row>
    <row r="386">
      <c r="A386" s="6">
        <f>IFERROR(VLOOKUP($B386,Company_Cat!$B$2:$E$623,2,FALSE),"")</f>
        <v/>
      </c>
      <c r="B386" s="4" t="n"/>
    </row>
    <row r="387">
      <c r="A387" s="6">
        <f>IFERROR(VLOOKUP($B387,Company_Cat!$B$2:$E$623,2,FALSE),"")</f>
        <v/>
      </c>
      <c r="B387" s="4" t="n"/>
    </row>
    <row r="388">
      <c r="A388" s="6">
        <f>IFERROR(VLOOKUP($B388,Company_Cat!$B$2:$E$623,2,FALSE),"")</f>
        <v/>
      </c>
      <c r="B388" s="4" t="n"/>
    </row>
    <row r="389">
      <c r="A389" s="6">
        <f>IFERROR(VLOOKUP($B389,Company_Cat!$B$2:$E$623,2,FALSE),"")</f>
        <v/>
      </c>
      <c r="B389" s="4" t="n"/>
    </row>
    <row r="390">
      <c r="A390" s="6">
        <f>IFERROR(VLOOKUP($B390,Company_Cat!$B$2:$E$623,2,FALSE),"")</f>
        <v/>
      </c>
      <c r="B390" s="4" t="n"/>
    </row>
    <row r="391">
      <c r="A391" s="6">
        <f>IFERROR(VLOOKUP($B391,Company_Cat!$B$2:$E$623,2,FALSE),"")</f>
        <v/>
      </c>
      <c r="B391" s="4" t="n"/>
    </row>
    <row r="392">
      <c r="A392" s="6">
        <f>IFERROR(VLOOKUP($B392,Company_Cat!$B$2:$E$623,2,FALSE),"")</f>
        <v/>
      </c>
      <c r="B392" s="4" t="n"/>
    </row>
    <row r="393">
      <c r="A393" s="6">
        <f>IFERROR(VLOOKUP($B393,Company_Cat!$B$2:$E$623,2,FALSE),"")</f>
        <v/>
      </c>
      <c r="B393" s="4" t="n"/>
    </row>
    <row r="394">
      <c r="A394" s="6">
        <f>IFERROR(VLOOKUP($B394,Company_Cat!$B$2:$E$623,2,FALSE),"")</f>
        <v/>
      </c>
      <c r="B394" s="4" t="n"/>
    </row>
    <row r="395">
      <c r="A395" s="6">
        <f>IFERROR(VLOOKUP($B395,Company_Cat!$B$2:$E$623,2,FALSE),"")</f>
        <v/>
      </c>
      <c r="B395" s="4" t="n"/>
    </row>
    <row r="396">
      <c r="A396" s="6">
        <f>IFERROR(VLOOKUP($B396,Company_Cat!$B$2:$E$623,2,FALSE),"")</f>
        <v/>
      </c>
      <c r="B396" s="4" t="n"/>
    </row>
    <row r="397">
      <c r="A397" s="6">
        <f>IFERROR(VLOOKUP($B397,Company_Cat!$B$2:$E$623,2,FALSE),"")</f>
        <v/>
      </c>
      <c r="B397" s="4" t="n"/>
    </row>
    <row r="398">
      <c r="A398" s="6">
        <f>IFERROR(VLOOKUP($B398,Company_Cat!$B$2:$E$623,2,FALSE),"")</f>
        <v/>
      </c>
      <c r="B398" s="4" t="n"/>
    </row>
    <row r="399">
      <c r="A399" s="6">
        <f>IFERROR(VLOOKUP($B399,Company_Cat!$B$2:$E$623,2,FALSE),"")</f>
        <v/>
      </c>
      <c r="B399" s="4" t="n"/>
    </row>
    <row r="400">
      <c r="A400" s="6">
        <f>IFERROR(VLOOKUP($B400,Company_Cat!$B$2:$E$623,2,FALSE),"")</f>
        <v/>
      </c>
      <c r="B400" s="4" t="n"/>
    </row>
    <row r="401">
      <c r="A401" s="6">
        <f>IFERROR(VLOOKUP($B401,Company_Cat!$B$2:$E$623,2,FALSE),"")</f>
        <v/>
      </c>
      <c r="B401" s="4" t="n"/>
    </row>
    <row r="402">
      <c r="A402" s="6">
        <f>IFERROR(VLOOKUP($B402,Company_Cat!$B$2:$E$623,2,FALSE),"")</f>
        <v/>
      </c>
      <c r="B402" s="4" t="n"/>
    </row>
    <row r="403">
      <c r="A403" s="6">
        <f>IFERROR(VLOOKUP($B403,Company_Cat!$B$2:$E$623,2,FALSE),"")</f>
        <v/>
      </c>
      <c r="B403" s="4" t="n"/>
    </row>
    <row r="404">
      <c r="A404" s="6">
        <f>IFERROR(VLOOKUP($B404,Company_Cat!$B$2:$E$623,2,FALSE),"")</f>
        <v/>
      </c>
      <c r="B404" s="4" t="n"/>
    </row>
    <row r="405">
      <c r="A405" s="6">
        <f>IFERROR(VLOOKUP($B405,Company_Cat!$B$2:$E$623,2,FALSE),"")</f>
        <v/>
      </c>
      <c r="B405" s="4" t="n"/>
    </row>
    <row r="406">
      <c r="A406" s="6">
        <f>IFERROR(VLOOKUP($B406,Company_Cat!$B$2:$E$623,2,FALSE),"")</f>
        <v/>
      </c>
      <c r="B406" s="4" t="n"/>
    </row>
    <row r="407">
      <c r="A407" s="6">
        <f>IFERROR(VLOOKUP($B407,Company_Cat!$B$2:$E$623,2,FALSE),"")</f>
        <v/>
      </c>
      <c r="B407" s="4" t="n"/>
    </row>
    <row r="408">
      <c r="A408" s="6">
        <f>IFERROR(VLOOKUP($B408,Company_Cat!$B$2:$E$623,2,FALSE),"")</f>
        <v/>
      </c>
      <c r="B408" s="4" t="n"/>
    </row>
    <row r="409">
      <c r="A409" s="6">
        <f>IFERROR(VLOOKUP($B409,Company_Cat!$B$2:$E$623,2,FALSE),"")</f>
        <v/>
      </c>
      <c r="B409" s="4" t="n"/>
    </row>
    <row r="410">
      <c r="A410" s="6">
        <f>IFERROR(VLOOKUP($B410,Company_Cat!$B$2:$E$623,2,FALSE),"")</f>
        <v/>
      </c>
      <c r="B410" s="4" t="n"/>
    </row>
    <row r="411">
      <c r="A411" s="6">
        <f>IFERROR(VLOOKUP($B411,Company_Cat!$B$2:$E$623,2,FALSE),"")</f>
        <v/>
      </c>
      <c r="B411" s="4" t="n"/>
    </row>
    <row r="412">
      <c r="A412" s="6">
        <f>IFERROR(VLOOKUP($B412,Company_Cat!$B$2:$E$623,2,FALSE),"")</f>
        <v/>
      </c>
      <c r="B412" s="4" t="n"/>
    </row>
    <row r="413">
      <c r="A413" s="6">
        <f>IFERROR(VLOOKUP($B413,Company_Cat!$B$2:$E$623,2,FALSE),"")</f>
        <v/>
      </c>
      <c r="B413" s="4" t="n"/>
    </row>
    <row r="414">
      <c r="A414" s="6">
        <f>IFERROR(VLOOKUP($B414,Company_Cat!$B$2:$E$623,2,FALSE),"")</f>
        <v/>
      </c>
      <c r="B414" s="4" t="n"/>
    </row>
    <row r="415">
      <c r="A415" s="6">
        <f>IFERROR(VLOOKUP($B415,Company_Cat!$B$2:$E$623,2,FALSE),"")</f>
        <v/>
      </c>
      <c r="B415" s="4" t="n"/>
    </row>
    <row r="416">
      <c r="A416" s="6">
        <f>IFERROR(VLOOKUP($B416,Company_Cat!$B$2:$E$623,2,FALSE),"")</f>
        <v/>
      </c>
      <c r="B416" s="4" t="n"/>
    </row>
    <row r="417">
      <c r="A417" s="6">
        <f>IFERROR(VLOOKUP($B417,Company_Cat!$B$2:$E$623,2,FALSE),"")</f>
        <v/>
      </c>
      <c r="B417" s="4" t="n"/>
    </row>
    <row r="418">
      <c r="A418" s="6">
        <f>IFERROR(VLOOKUP($B418,Company_Cat!$B$2:$E$623,2,FALSE),"")</f>
        <v/>
      </c>
      <c r="B418" s="4" t="n"/>
    </row>
    <row r="419">
      <c r="A419" s="6">
        <f>IFERROR(VLOOKUP($B419,Company_Cat!$B$2:$E$623,2,FALSE),"")</f>
        <v/>
      </c>
      <c r="B419" s="4" t="n"/>
    </row>
    <row r="420">
      <c r="A420" s="6">
        <f>IFERROR(VLOOKUP($B420,Company_Cat!$B$2:$E$623,2,FALSE),"")</f>
        <v/>
      </c>
      <c r="B420" s="4" t="n"/>
    </row>
    <row r="421">
      <c r="A421" s="6">
        <f>IFERROR(VLOOKUP($B421,Company_Cat!$B$2:$E$623,2,FALSE),"")</f>
        <v/>
      </c>
      <c r="B421" s="4" t="n"/>
    </row>
    <row r="422">
      <c r="A422" s="6">
        <f>IFERROR(VLOOKUP($B422,Company_Cat!$B$2:$E$623,2,FALSE),"")</f>
        <v/>
      </c>
      <c r="B422" s="4" t="n"/>
    </row>
    <row r="423">
      <c r="A423" s="6">
        <f>IFERROR(VLOOKUP($B423,Company_Cat!$B$2:$E$623,2,FALSE),"")</f>
        <v/>
      </c>
      <c r="B423" s="4" t="n"/>
    </row>
    <row r="424">
      <c r="A424" s="6">
        <f>IFERROR(VLOOKUP($B424,Company_Cat!$B$2:$E$623,2,FALSE),"")</f>
        <v/>
      </c>
      <c r="B424" s="4" t="n"/>
    </row>
    <row r="425">
      <c r="A425" s="6">
        <f>IFERROR(VLOOKUP($B425,Company_Cat!$B$2:$E$623,2,FALSE),"")</f>
        <v/>
      </c>
      <c r="B425" s="4" t="n"/>
    </row>
    <row r="426">
      <c r="A426" s="6">
        <f>IFERROR(VLOOKUP($B426,Company_Cat!$B$2:$E$623,2,FALSE),"")</f>
        <v/>
      </c>
      <c r="B426" s="4" t="n"/>
    </row>
    <row r="427">
      <c r="A427" s="6">
        <f>IFERROR(VLOOKUP($B427,Company_Cat!$B$2:$E$623,2,FALSE),"")</f>
        <v/>
      </c>
      <c r="B427" s="4" t="n"/>
    </row>
    <row r="428">
      <c r="A428" s="6">
        <f>IFERROR(VLOOKUP($B428,Company_Cat!$B$2:$E$623,2,FALSE),"")</f>
        <v/>
      </c>
      <c r="B428" s="4" t="n"/>
    </row>
    <row r="429">
      <c r="A429" s="6">
        <f>IFERROR(VLOOKUP($B429,Company_Cat!$B$2:$E$623,2,FALSE),"")</f>
        <v/>
      </c>
      <c r="B429" s="4" t="n"/>
    </row>
    <row r="430">
      <c r="A430" s="6">
        <f>IFERROR(VLOOKUP($B430,Company_Cat!$B$2:$E$623,2,FALSE),"")</f>
        <v/>
      </c>
      <c r="B430" s="4" t="n"/>
    </row>
    <row r="431">
      <c r="A431" s="6">
        <f>IFERROR(VLOOKUP($B431,Company_Cat!$B$2:$E$623,2,FALSE),"")</f>
        <v/>
      </c>
      <c r="B431" s="4" t="n"/>
    </row>
    <row r="432">
      <c r="A432" s="6">
        <f>IFERROR(VLOOKUP($B432,Company_Cat!$B$2:$E$623,2,FALSE),"")</f>
        <v/>
      </c>
      <c r="B432" s="4" t="n"/>
    </row>
    <row r="433">
      <c r="A433" s="6">
        <f>IFERROR(VLOOKUP($B433,Company_Cat!$B$2:$E$623,2,FALSE),"")</f>
        <v/>
      </c>
      <c r="B433" s="4" t="n"/>
    </row>
    <row r="434">
      <c r="A434" s="6">
        <f>IFERROR(VLOOKUP($B434,Company_Cat!$B$2:$E$623,2,FALSE),"")</f>
        <v/>
      </c>
      <c r="B434" s="4" t="n"/>
    </row>
    <row r="435">
      <c r="A435" s="6">
        <f>IFERROR(VLOOKUP($B435,Company_Cat!$B$2:$E$623,2,FALSE),"")</f>
        <v/>
      </c>
      <c r="B435" s="4" t="n"/>
    </row>
    <row r="436">
      <c r="A436" s="6">
        <f>IFERROR(VLOOKUP($B436,Company_Cat!$B$2:$E$623,2,FALSE),"")</f>
        <v/>
      </c>
      <c r="B436" s="4" t="n"/>
    </row>
    <row r="437">
      <c r="A437" s="6">
        <f>IFERROR(VLOOKUP($B437,Company_Cat!$B$2:$E$623,2,FALSE),"")</f>
        <v/>
      </c>
      <c r="B437" s="4" t="n"/>
    </row>
    <row r="438">
      <c r="A438" s="6">
        <f>IFERROR(VLOOKUP($B438,Company_Cat!$B$2:$E$623,2,FALSE),"")</f>
        <v/>
      </c>
      <c r="B438" s="4" t="n"/>
    </row>
    <row r="439">
      <c r="A439" s="6">
        <f>IFERROR(VLOOKUP($B439,Company_Cat!$B$2:$E$623,2,FALSE),"")</f>
        <v/>
      </c>
      <c r="B439" s="4" t="n"/>
    </row>
    <row r="440">
      <c r="A440" s="6">
        <f>IFERROR(VLOOKUP($B440,Company_Cat!$B$2:$E$623,2,FALSE),"")</f>
        <v/>
      </c>
      <c r="B440" s="4" t="n"/>
    </row>
    <row r="441">
      <c r="A441" s="6">
        <f>IFERROR(VLOOKUP($B441,Company_Cat!$B$2:$E$623,2,FALSE),"")</f>
        <v/>
      </c>
      <c r="B441" s="4" t="n"/>
    </row>
    <row r="442">
      <c r="A442" s="6">
        <f>IFERROR(VLOOKUP($B442,Company_Cat!$B$2:$E$623,2,FALSE),"")</f>
        <v/>
      </c>
      <c r="B442" s="4" t="n"/>
    </row>
    <row r="443">
      <c r="A443" s="6">
        <f>IFERROR(VLOOKUP($B443,Company_Cat!$B$2:$E$623,2,FALSE),"")</f>
        <v/>
      </c>
      <c r="B443" s="4" t="n"/>
    </row>
    <row r="444">
      <c r="A444" s="6">
        <f>IFERROR(VLOOKUP($B444,Company_Cat!$B$2:$E$623,2,FALSE),"")</f>
        <v/>
      </c>
      <c r="B444" s="4" t="n"/>
    </row>
    <row r="445">
      <c r="A445" s="6">
        <f>IFERROR(VLOOKUP($B445,Company_Cat!$B$2:$E$623,2,FALSE),"")</f>
        <v/>
      </c>
      <c r="B445" s="4" t="n"/>
    </row>
    <row r="446">
      <c r="A446" s="6">
        <f>IFERROR(VLOOKUP($B446,Company_Cat!$B$2:$E$623,2,FALSE),"")</f>
        <v/>
      </c>
      <c r="B446" s="4" t="n"/>
    </row>
    <row r="447">
      <c r="A447" s="6">
        <f>IFERROR(VLOOKUP($B447,Company_Cat!$B$2:$E$623,2,FALSE),"")</f>
        <v/>
      </c>
      <c r="B447" s="4" t="n"/>
    </row>
    <row r="448">
      <c r="A448" s="6">
        <f>IFERROR(VLOOKUP($B448,Company_Cat!$B$2:$E$623,2,FALSE),"")</f>
        <v/>
      </c>
      <c r="B448" s="4" t="n"/>
    </row>
    <row r="449">
      <c r="A449" s="6">
        <f>IFERROR(VLOOKUP($B449,Company_Cat!$B$2:$E$623,2,FALSE),"")</f>
        <v/>
      </c>
      <c r="B449" s="4" t="n"/>
    </row>
    <row r="450">
      <c r="A450" s="6">
        <f>IFERROR(VLOOKUP($B450,Company_Cat!$B$2:$E$623,2,FALSE),"")</f>
        <v/>
      </c>
      <c r="B450" s="4" t="n"/>
    </row>
    <row r="451">
      <c r="A451" s="6">
        <f>IFERROR(VLOOKUP($B451,Company_Cat!$B$2:$E$623,2,FALSE),"")</f>
        <v/>
      </c>
      <c r="B451" s="4" t="n"/>
    </row>
    <row r="452">
      <c r="A452" s="6">
        <f>IFERROR(VLOOKUP($B452,Company_Cat!$B$2:$E$623,2,FALSE),"")</f>
        <v/>
      </c>
      <c r="B452" s="4" t="n"/>
    </row>
    <row r="453">
      <c r="A453" s="6">
        <f>IFERROR(VLOOKUP($B453,Company_Cat!$B$2:$E$623,2,FALSE),"")</f>
        <v/>
      </c>
      <c r="B453" s="4" t="n"/>
    </row>
    <row r="454">
      <c r="A454" s="6">
        <f>IFERROR(VLOOKUP($B454,Company_Cat!$B$2:$E$623,2,FALSE),"")</f>
        <v/>
      </c>
      <c r="B454" s="4" t="n"/>
    </row>
    <row r="455">
      <c r="A455" s="6">
        <f>IFERROR(VLOOKUP($B455,Company_Cat!$B$2:$E$623,2,FALSE),"")</f>
        <v/>
      </c>
      <c r="B455" s="4" t="n"/>
    </row>
    <row r="456">
      <c r="A456" s="6">
        <f>IFERROR(VLOOKUP($B456,Company_Cat!$B$2:$E$623,2,FALSE),"")</f>
        <v/>
      </c>
      <c r="B456" s="4" t="n"/>
    </row>
    <row r="457">
      <c r="A457" s="6">
        <f>IFERROR(VLOOKUP($B457,Company_Cat!$B$2:$E$623,2,FALSE),"")</f>
        <v/>
      </c>
      <c r="B457" s="4" t="n"/>
    </row>
    <row r="458">
      <c r="A458" s="6">
        <f>IFERROR(VLOOKUP($B458,Company_Cat!$B$2:$E$623,2,FALSE),"")</f>
        <v/>
      </c>
      <c r="B458" s="4" t="n"/>
    </row>
    <row r="459">
      <c r="A459" s="6">
        <f>IFERROR(VLOOKUP($B459,Company_Cat!$B$2:$E$623,2,FALSE),"")</f>
        <v/>
      </c>
      <c r="B459" s="4" t="n"/>
    </row>
    <row r="460">
      <c r="A460" s="6">
        <f>IFERROR(VLOOKUP($B460,Company_Cat!$B$2:$E$623,2,FALSE),"")</f>
        <v/>
      </c>
      <c r="B460" s="4" t="n"/>
    </row>
    <row r="461">
      <c r="A461" s="6">
        <f>IFERROR(VLOOKUP($B461,Company_Cat!$B$2:$E$623,2,FALSE),"")</f>
        <v/>
      </c>
      <c r="B461" s="4" t="n"/>
    </row>
    <row r="462">
      <c r="A462" s="6">
        <f>IFERROR(VLOOKUP($B462,Company_Cat!$B$2:$E$623,2,FALSE),"")</f>
        <v/>
      </c>
      <c r="B462" s="4" t="n"/>
    </row>
    <row r="463">
      <c r="A463" s="6">
        <f>IFERROR(VLOOKUP($B463,Company_Cat!$B$2:$E$623,2,FALSE),"")</f>
        <v/>
      </c>
      <c r="B463" s="4" t="n"/>
    </row>
    <row r="464">
      <c r="A464" s="6">
        <f>IFERROR(VLOOKUP($B464,Company_Cat!$B$2:$E$623,2,FALSE),"")</f>
        <v/>
      </c>
      <c r="B464" s="4" t="n"/>
    </row>
    <row r="465">
      <c r="A465" s="6">
        <f>IFERROR(VLOOKUP($B465,Company_Cat!$B$2:$E$623,2,FALSE),"")</f>
        <v/>
      </c>
      <c r="B465" s="4" t="n"/>
    </row>
    <row r="466">
      <c r="A466" s="6">
        <f>IFERROR(VLOOKUP($B466,Company_Cat!$B$2:$E$623,2,FALSE),"")</f>
        <v/>
      </c>
      <c r="B466" s="4" t="n"/>
    </row>
    <row r="467">
      <c r="A467" s="6">
        <f>IFERROR(VLOOKUP($B467,Company_Cat!$B$2:$E$623,2,FALSE),"")</f>
        <v/>
      </c>
      <c r="B467" s="4" t="n"/>
    </row>
    <row r="468">
      <c r="A468" s="6">
        <f>IFERROR(VLOOKUP($B468,Company_Cat!$B$2:$E$623,2,FALSE),"")</f>
        <v/>
      </c>
      <c r="B468" s="4" t="n"/>
    </row>
    <row r="469">
      <c r="A469" s="6">
        <f>IFERROR(VLOOKUP($B469,Company_Cat!$B$2:$E$623,2,FALSE),"")</f>
        <v/>
      </c>
      <c r="B469" s="4" t="n"/>
    </row>
    <row r="470">
      <c r="A470" s="6">
        <f>IFERROR(VLOOKUP($B470,Company_Cat!$B$2:$E$623,2,FALSE),"")</f>
        <v/>
      </c>
      <c r="B470" s="4" t="n"/>
    </row>
    <row r="471">
      <c r="A471" s="6">
        <f>IFERROR(VLOOKUP($B471,Company_Cat!$B$2:$E$623,2,FALSE),"")</f>
        <v/>
      </c>
      <c r="B471" s="4" t="n"/>
    </row>
    <row r="472">
      <c r="A472" s="6">
        <f>IFERROR(VLOOKUP($B472,Company_Cat!$B$2:$E$623,2,FALSE),"")</f>
        <v/>
      </c>
      <c r="B472" s="4" t="n"/>
    </row>
    <row r="473">
      <c r="A473" s="6">
        <f>IFERROR(VLOOKUP($B473,Company_Cat!$B$2:$E$623,2,FALSE),"")</f>
        <v/>
      </c>
      <c r="B473" s="4" t="n"/>
    </row>
    <row r="474">
      <c r="A474" s="6">
        <f>IFERROR(VLOOKUP($B474,Company_Cat!$B$2:$E$623,2,FALSE),"")</f>
        <v/>
      </c>
      <c r="B474" s="4" t="n"/>
    </row>
    <row r="475">
      <c r="A475" s="6">
        <f>IFERROR(VLOOKUP($B475,Company_Cat!$B$2:$E$623,2,FALSE),"")</f>
        <v/>
      </c>
      <c r="B475" s="4" t="n"/>
    </row>
    <row r="476">
      <c r="A476" s="6">
        <f>IFERROR(VLOOKUP($B476,Company_Cat!$B$2:$E$623,2,FALSE),"")</f>
        <v/>
      </c>
      <c r="B476" s="4" t="n"/>
    </row>
    <row r="477">
      <c r="A477" s="6">
        <f>IFERROR(VLOOKUP($B477,Company_Cat!$B$2:$E$623,2,FALSE),"")</f>
        <v/>
      </c>
      <c r="B477" s="4" t="n"/>
    </row>
    <row r="478">
      <c r="A478" s="6">
        <f>IFERROR(VLOOKUP($B478,Company_Cat!$B$2:$E$623,2,FALSE),"")</f>
        <v/>
      </c>
      <c r="B478" s="4" t="n"/>
    </row>
    <row r="479">
      <c r="A479" s="6">
        <f>IFERROR(VLOOKUP($B479,Company_Cat!$B$2:$E$623,2,FALSE),"")</f>
        <v/>
      </c>
      <c r="B479" s="4" t="n"/>
    </row>
    <row r="480">
      <c r="A480" s="6">
        <f>IFERROR(VLOOKUP($B480,Company_Cat!$B$2:$E$623,2,FALSE),"")</f>
        <v/>
      </c>
      <c r="B480" s="4" t="n"/>
    </row>
    <row r="481">
      <c r="A481" s="6">
        <f>IFERROR(VLOOKUP($B481,Company_Cat!$B$2:$E$623,2,FALSE),"")</f>
        <v/>
      </c>
      <c r="B481" s="4" t="n"/>
    </row>
    <row r="482">
      <c r="A482" s="6">
        <f>IFERROR(VLOOKUP($B482,Company_Cat!$B$2:$E$623,2,FALSE),"")</f>
        <v/>
      </c>
      <c r="B482" s="4" t="n"/>
    </row>
    <row r="483">
      <c r="A483" s="6">
        <f>IFERROR(VLOOKUP($B483,Company_Cat!$B$2:$E$623,2,FALSE),"")</f>
        <v/>
      </c>
      <c r="B483" s="4" t="n"/>
    </row>
    <row r="484">
      <c r="A484" s="6">
        <f>IFERROR(VLOOKUP($B484,Company_Cat!$B$2:$E$623,2,FALSE),"")</f>
        <v/>
      </c>
      <c r="B484" s="4" t="n"/>
    </row>
    <row r="485">
      <c r="A485" s="6">
        <f>IFERROR(VLOOKUP($B485,Company_Cat!$B$2:$E$623,2,FALSE),"")</f>
        <v/>
      </c>
      <c r="B485" s="4" t="n"/>
    </row>
    <row r="486">
      <c r="A486" s="6">
        <f>IFERROR(VLOOKUP($B486,Company_Cat!$B$2:$E$623,2,FALSE),"")</f>
        <v/>
      </c>
      <c r="B486" s="4" t="n"/>
    </row>
    <row r="487">
      <c r="A487" s="6">
        <f>IFERROR(VLOOKUP($B487,Company_Cat!$B$2:$E$623,2,FALSE),"")</f>
        <v/>
      </c>
      <c r="B487" s="4" t="n"/>
    </row>
    <row r="488">
      <c r="A488" s="6">
        <f>IFERROR(VLOOKUP($B488,Company_Cat!$B$2:$E$623,2,FALSE),"")</f>
        <v/>
      </c>
      <c r="B488" s="4" t="n"/>
    </row>
    <row r="489">
      <c r="A489" s="6">
        <f>IFERROR(VLOOKUP($B489,Company_Cat!$B$2:$E$623,2,FALSE),"")</f>
        <v/>
      </c>
      <c r="B489" s="4" t="n"/>
    </row>
    <row r="490">
      <c r="A490" s="6">
        <f>IFERROR(VLOOKUP($B490,Company_Cat!$B$2:$E$623,2,FALSE),"")</f>
        <v/>
      </c>
      <c r="B490" s="4" t="n"/>
    </row>
    <row r="491">
      <c r="A491" s="6">
        <f>IFERROR(VLOOKUP($B491,Company_Cat!$B$2:$E$623,2,FALSE),"")</f>
        <v/>
      </c>
      <c r="B491" s="4" t="n"/>
    </row>
    <row r="492">
      <c r="A492" s="6">
        <f>IFERROR(VLOOKUP($B492,Company_Cat!$B$2:$E$623,2,FALSE),"")</f>
        <v/>
      </c>
      <c r="B492" s="4" t="n"/>
    </row>
    <row r="493">
      <c r="A493" s="6">
        <f>IFERROR(VLOOKUP($B493,Company_Cat!$B$2:$E$623,2,FALSE),"")</f>
        <v/>
      </c>
      <c r="B493" s="4" t="n"/>
    </row>
    <row r="494">
      <c r="A494" s="6">
        <f>IFERROR(VLOOKUP($B494,Company_Cat!$B$2:$E$623,2,FALSE),"")</f>
        <v/>
      </c>
      <c r="B494" s="4" t="n"/>
    </row>
    <row r="495">
      <c r="A495" s="6">
        <f>IFERROR(VLOOKUP($B495,Company_Cat!$B$2:$E$623,2,FALSE),"")</f>
        <v/>
      </c>
      <c r="B495" s="4" t="n"/>
    </row>
    <row r="496">
      <c r="A496" s="6">
        <f>IFERROR(VLOOKUP($B496,Company_Cat!$B$2:$E$623,2,FALSE),"")</f>
        <v/>
      </c>
      <c r="B496" s="4" t="n"/>
    </row>
    <row r="497">
      <c r="A497" s="6">
        <f>IFERROR(VLOOKUP($B497,Company_Cat!$B$2:$E$623,2,FALSE),"")</f>
        <v/>
      </c>
      <c r="B497" s="4" t="n"/>
    </row>
    <row r="498">
      <c r="A498" s="6">
        <f>IFERROR(VLOOKUP($B498,Company_Cat!$B$2:$E$623,2,FALSE),"")</f>
        <v/>
      </c>
      <c r="B498" s="4" t="n"/>
    </row>
    <row r="499">
      <c r="A499" s="6">
        <f>IFERROR(VLOOKUP($B499,Company_Cat!$B$2:$E$623,2,FALSE),"")</f>
        <v/>
      </c>
      <c r="B499" s="4" t="n"/>
    </row>
    <row r="500">
      <c r="A500" s="6">
        <f>IFERROR(VLOOKUP($B500,Company_Cat!$B$2:$E$623,2,FALSE),"")</f>
        <v/>
      </c>
      <c r="B500" s="4" t="n"/>
    </row>
    <row r="501">
      <c r="A501" s="6">
        <f>IFERROR(VLOOKUP($B501,Company_Cat!$B$2:$E$623,2,FALSE),"")</f>
        <v/>
      </c>
      <c r="B501" s="4" t="n"/>
    </row>
    <row r="502">
      <c r="A502" s="6">
        <f>IFERROR(VLOOKUP($B502,Company_Cat!$B$2:$E$623,2,FALSE),"")</f>
        <v/>
      </c>
      <c r="B502" s="4" t="n"/>
    </row>
    <row r="503">
      <c r="A503" s="6">
        <f>IFERROR(VLOOKUP($B503,Company_Cat!$B$2:$E$623,2,FALSE),"")</f>
        <v/>
      </c>
      <c r="B503" s="4" t="n"/>
    </row>
    <row r="504">
      <c r="A504" s="6">
        <f>IFERROR(VLOOKUP($B504,Company_Cat!$B$2:$E$623,2,FALSE),"")</f>
        <v/>
      </c>
      <c r="B504" s="4" t="n"/>
    </row>
    <row r="505">
      <c r="A505" s="6">
        <f>IFERROR(VLOOKUP($B505,Company_Cat!$B$2:$E$623,2,FALSE),"")</f>
        <v/>
      </c>
      <c r="B505" s="4" t="n"/>
    </row>
    <row r="506">
      <c r="A506" s="6">
        <f>IFERROR(VLOOKUP($B506,Company_Cat!$B$2:$E$623,2,FALSE),"")</f>
        <v/>
      </c>
      <c r="B506" s="4" t="n"/>
    </row>
    <row r="507">
      <c r="A507" s="6">
        <f>IFERROR(VLOOKUP($B507,Company_Cat!$B$2:$E$623,2,FALSE),"")</f>
        <v/>
      </c>
      <c r="B507" s="4" t="n"/>
    </row>
    <row r="508">
      <c r="A508" s="6">
        <f>IFERROR(VLOOKUP($B508,Company_Cat!$B$2:$E$623,2,FALSE),"")</f>
        <v/>
      </c>
      <c r="B508" s="4" t="n"/>
    </row>
    <row r="509">
      <c r="A509" s="6">
        <f>IFERROR(VLOOKUP($B509,Company_Cat!$B$2:$E$623,2,FALSE),"")</f>
        <v/>
      </c>
      <c r="B509" s="4" t="n"/>
    </row>
    <row r="510">
      <c r="A510" s="6">
        <f>IFERROR(VLOOKUP($B510,Company_Cat!$B$2:$E$623,2,FALSE),"")</f>
        <v/>
      </c>
      <c r="B510" s="4" t="n"/>
    </row>
    <row r="511">
      <c r="A511" s="6">
        <f>IFERROR(VLOOKUP($B511,Company_Cat!$B$2:$E$623,2,FALSE),"")</f>
        <v/>
      </c>
      <c r="B511" s="4" t="n"/>
    </row>
    <row r="512">
      <c r="A512" s="6">
        <f>IFERROR(VLOOKUP($B512,Company_Cat!$B$2:$E$623,2,FALSE),"")</f>
        <v/>
      </c>
      <c r="B512" s="4" t="n"/>
    </row>
    <row r="513">
      <c r="A513" s="6">
        <f>IFERROR(VLOOKUP($B513,Company_Cat!$B$2:$E$623,2,FALSE),"")</f>
        <v/>
      </c>
      <c r="B513" s="4" t="n"/>
    </row>
    <row r="514">
      <c r="A514" s="6">
        <f>IFERROR(VLOOKUP($B514,Company_Cat!$B$2:$E$623,2,FALSE),"")</f>
        <v/>
      </c>
      <c r="B514" s="4" t="n"/>
    </row>
    <row r="515">
      <c r="A515" s="6">
        <f>IFERROR(VLOOKUP($B515,Company_Cat!$B$2:$E$623,2,FALSE),"")</f>
        <v/>
      </c>
      <c r="B515" s="4" t="n"/>
    </row>
    <row r="516">
      <c r="A516" s="6">
        <f>IFERROR(VLOOKUP($B516,Company_Cat!$B$2:$E$623,2,FALSE),"")</f>
        <v/>
      </c>
      <c r="B516" s="4" t="n"/>
    </row>
    <row r="517">
      <c r="A517" s="6">
        <f>IFERROR(VLOOKUP($B517,Company_Cat!$B$2:$E$623,2,FALSE),"")</f>
        <v/>
      </c>
      <c r="B517" s="4" t="n"/>
    </row>
    <row r="518">
      <c r="A518" s="6">
        <f>IFERROR(VLOOKUP($B518,Company_Cat!$B$2:$E$623,2,FALSE),"")</f>
        <v/>
      </c>
      <c r="B518" s="4" t="n"/>
    </row>
    <row r="519">
      <c r="A519" s="6">
        <f>IFERROR(VLOOKUP($B519,Company_Cat!$B$2:$E$623,2,FALSE),"")</f>
        <v/>
      </c>
      <c r="B519" s="4" t="n"/>
    </row>
    <row r="520">
      <c r="A520" s="6">
        <f>IFERROR(VLOOKUP($B520,Company_Cat!$B$2:$E$623,2,FALSE),"")</f>
        <v/>
      </c>
      <c r="B520" s="4" t="n"/>
    </row>
    <row r="521">
      <c r="A521" s="6">
        <f>IFERROR(VLOOKUP($B521,Company_Cat!$B$2:$E$623,2,FALSE),"")</f>
        <v/>
      </c>
      <c r="B521" s="4" t="n"/>
    </row>
    <row r="522">
      <c r="A522" s="6">
        <f>IFERROR(VLOOKUP($B522,Company_Cat!$B$2:$E$623,2,FALSE),"")</f>
        <v/>
      </c>
      <c r="B522" s="4" t="n"/>
    </row>
    <row r="523">
      <c r="A523" s="6">
        <f>IFERROR(VLOOKUP($B523,Company_Cat!$B$2:$E$623,2,FALSE),"")</f>
        <v/>
      </c>
      <c r="B523" s="4" t="n"/>
    </row>
    <row r="524">
      <c r="A524" s="6">
        <f>IFERROR(VLOOKUP($B524,Company_Cat!$B$2:$E$623,2,FALSE),"")</f>
        <v/>
      </c>
      <c r="B524" s="4" t="n"/>
    </row>
    <row r="525">
      <c r="A525" s="6">
        <f>IFERROR(VLOOKUP($B525,Company_Cat!$B$2:$E$623,2,FALSE),"")</f>
        <v/>
      </c>
      <c r="B525" s="4" t="n"/>
    </row>
    <row r="526">
      <c r="A526" s="6">
        <f>IFERROR(VLOOKUP($B526,Company_Cat!$B$2:$E$623,2,FALSE),"")</f>
        <v/>
      </c>
      <c r="B526" s="4" t="n"/>
    </row>
    <row r="527">
      <c r="A527" s="6">
        <f>IFERROR(VLOOKUP($B527,Company_Cat!$B$2:$E$623,2,FALSE),"")</f>
        <v/>
      </c>
      <c r="B527" s="4" t="n"/>
    </row>
    <row r="528">
      <c r="A528" s="6">
        <f>IFERROR(VLOOKUP($B528,Company_Cat!$B$2:$E$623,2,FALSE),"")</f>
        <v/>
      </c>
      <c r="B528" s="4" t="n"/>
    </row>
    <row r="529">
      <c r="A529" s="6">
        <f>IFERROR(VLOOKUP($B529,Company_Cat!$B$2:$E$623,2,FALSE),"")</f>
        <v/>
      </c>
      <c r="B529" s="4" t="n"/>
    </row>
    <row r="530">
      <c r="A530" s="6">
        <f>IFERROR(VLOOKUP($B530,Company_Cat!$B$2:$E$623,2,FALSE),"")</f>
        <v/>
      </c>
      <c r="B530" s="4" t="n"/>
    </row>
    <row r="531">
      <c r="A531" s="6">
        <f>IFERROR(VLOOKUP($B531,Company_Cat!$B$2:$E$623,2,FALSE),"")</f>
        <v/>
      </c>
      <c r="B531" s="4" t="n"/>
    </row>
    <row r="532">
      <c r="A532" s="6">
        <f>IFERROR(VLOOKUP($B532,Company_Cat!$B$2:$E$623,2,FALSE),"")</f>
        <v/>
      </c>
      <c r="B532" s="4" t="n"/>
    </row>
    <row r="533">
      <c r="A533" s="6">
        <f>IFERROR(VLOOKUP($B533,Company_Cat!$B$2:$E$623,2,FALSE),"")</f>
        <v/>
      </c>
      <c r="B533" s="4" t="n"/>
    </row>
    <row r="534">
      <c r="A534" s="6">
        <f>IFERROR(VLOOKUP($B534,Company_Cat!$B$2:$E$623,2,FALSE),"")</f>
        <v/>
      </c>
      <c r="B534" s="4" t="n"/>
    </row>
    <row r="535">
      <c r="A535" s="6">
        <f>IFERROR(VLOOKUP($B535,Company_Cat!$B$2:$E$623,2,FALSE),"")</f>
        <v/>
      </c>
      <c r="B535" s="4" t="n"/>
    </row>
    <row r="536">
      <c r="A536" s="6">
        <f>IFERROR(VLOOKUP($B536,Company_Cat!$B$2:$E$623,2,FALSE),"")</f>
        <v/>
      </c>
      <c r="B536" s="4" t="n"/>
    </row>
    <row r="537">
      <c r="A537" s="6">
        <f>IFERROR(VLOOKUP($B537,Company_Cat!$B$2:$E$623,2,FALSE),"")</f>
        <v/>
      </c>
      <c r="B537" s="4" t="n"/>
    </row>
    <row r="538">
      <c r="A538" s="6">
        <f>IFERROR(VLOOKUP($B538,Company_Cat!$B$2:$E$623,2,FALSE),"")</f>
        <v/>
      </c>
      <c r="B538" s="4" t="n"/>
    </row>
    <row r="539">
      <c r="A539" s="6">
        <f>IFERROR(VLOOKUP($B539,Company_Cat!$B$2:$E$623,2,FALSE),"")</f>
        <v/>
      </c>
      <c r="B539" s="4" t="n"/>
    </row>
    <row r="540">
      <c r="A540" s="6">
        <f>IFERROR(VLOOKUP($B540,Company_Cat!$B$2:$E$623,2,FALSE),"")</f>
        <v/>
      </c>
      <c r="B540" s="4" t="n"/>
    </row>
    <row r="541">
      <c r="A541" s="6">
        <f>IFERROR(VLOOKUP($B541,Company_Cat!$B$2:$E$623,2,FALSE),"")</f>
        <v/>
      </c>
      <c r="B541" s="4" t="n"/>
    </row>
    <row r="542">
      <c r="A542" s="6">
        <f>IFERROR(VLOOKUP($B542,Company_Cat!$B$2:$E$623,2,FALSE),"")</f>
        <v/>
      </c>
      <c r="B542" s="4" t="n"/>
    </row>
    <row r="543">
      <c r="A543" s="6">
        <f>IFERROR(VLOOKUP($B543,Company_Cat!$B$2:$E$623,2,FALSE),"")</f>
        <v/>
      </c>
      <c r="B543" s="4" t="n"/>
    </row>
    <row r="544">
      <c r="A544" s="6">
        <f>IFERROR(VLOOKUP($B544,Company_Cat!$B$2:$E$623,2,FALSE),"")</f>
        <v/>
      </c>
      <c r="B544" s="4" t="n"/>
    </row>
    <row r="545">
      <c r="A545" s="6">
        <f>IFERROR(VLOOKUP($B545,Company_Cat!$B$2:$E$623,2,FALSE),"")</f>
        <v/>
      </c>
      <c r="B545" s="4" t="n"/>
    </row>
    <row r="546">
      <c r="A546" s="6">
        <f>IFERROR(VLOOKUP($B546,Company_Cat!$B$2:$E$623,2,FALSE),"")</f>
        <v/>
      </c>
      <c r="B546" s="4" t="n"/>
    </row>
    <row r="547">
      <c r="A547" s="6">
        <f>IFERROR(VLOOKUP($B547,Company_Cat!$B$2:$E$623,2,FALSE),"")</f>
        <v/>
      </c>
      <c r="B547" s="4" t="n"/>
    </row>
    <row r="548">
      <c r="A548" s="6">
        <f>IFERROR(VLOOKUP($B548,Company_Cat!$B$2:$E$623,2,FALSE),"")</f>
        <v/>
      </c>
      <c r="B548" s="4" t="n"/>
    </row>
    <row r="549">
      <c r="A549" s="6">
        <f>IFERROR(VLOOKUP($B549,Company_Cat!$B$2:$E$623,2,FALSE),"")</f>
        <v/>
      </c>
      <c r="B549" s="4" t="n"/>
    </row>
    <row r="550">
      <c r="A550" s="6">
        <f>IFERROR(VLOOKUP($B550,Company_Cat!$B$2:$E$623,2,FALSE),"")</f>
        <v/>
      </c>
      <c r="B550" s="4" t="n"/>
    </row>
    <row r="551">
      <c r="A551" s="6">
        <f>IFERROR(VLOOKUP($B551,Company_Cat!$B$2:$E$623,2,FALSE),"")</f>
        <v/>
      </c>
      <c r="B551" s="4" t="n"/>
    </row>
    <row r="552">
      <c r="A552" s="6">
        <f>IFERROR(VLOOKUP($B552,Company_Cat!$B$2:$E$623,2,FALSE),"")</f>
        <v/>
      </c>
      <c r="B552" s="4" t="n"/>
    </row>
    <row r="553">
      <c r="A553" s="6">
        <f>IFERROR(VLOOKUP($B553,Company_Cat!$B$2:$E$623,2,FALSE),"")</f>
        <v/>
      </c>
      <c r="B553" s="4" t="n"/>
    </row>
    <row r="554">
      <c r="A554" s="6">
        <f>IFERROR(VLOOKUP($B554,Company_Cat!$B$2:$E$623,2,FALSE),"")</f>
        <v/>
      </c>
      <c r="B554" s="4" t="n"/>
    </row>
    <row r="555">
      <c r="A555" s="6">
        <f>IFERROR(VLOOKUP($B555,Company_Cat!$B$2:$E$623,2,FALSE),"")</f>
        <v/>
      </c>
      <c r="B555" s="4" t="n"/>
    </row>
    <row r="556">
      <c r="A556" s="6">
        <f>IFERROR(VLOOKUP($B556,Company_Cat!$B$2:$E$623,2,FALSE),"")</f>
        <v/>
      </c>
      <c r="B556" s="4" t="n"/>
    </row>
    <row r="557">
      <c r="A557" s="6">
        <f>IFERROR(VLOOKUP($B557,Company_Cat!$B$2:$E$623,2,FALSE),"")</f>
        <v/>
      </c>
      <c r="B557" s="4" t="n"/>
    </row>
    <row r="558">
      <c r="A558" s="6">
        <f>IFERROR(VLOOKUP($B558,Company_Cat!$B$2:$E$623,2,FALSE),"")</f>
        <v/>
      </c>
      <c r="B558" s="4" t="n"/>
    </row>
    <row r="559">
      <c r="A559" s="6">
        <f>IFERROR(VLOOKUP($B559,Company_Cat!$B$2:$E$623,2,FALSE),"")</f>
        <v/>
      </c>
      <c r="B559" s="4" t="n"/>
    </row>
    <row r="560">
      <c r="A560" s="6">
        <f>IFERROR(VLOOKUP($B560,Company_Cat!$B$2:$E$623,2,FALSE),"")</f>
        <v/>
      </c>
      <c r="B560" s="4" t="n"/>
    </row>
    <row r="561">
      <c r="A561" s="6">
        <f>IFERROR(VLOOKUP($B561,Company_Cat!$B$2:$E$623,2,FALSE),"")</f>
        <v/>
      </c>
      <c r="B561" s="4" t="n"/>
    </row>
    <row r="562">
      <c r="A562" s="6">
        <f>IFERROR(VLOOKUP($B562,Company_Cat!$B$2:$E$623,2,FALSE),"")</f>
        <v/>
      </c>
      <c r="B562" s="4" t="n"/>
    </row>
    <row r="563">
      <c r="A563" s="6">
        <f>IFERROR(VLOOKUP($B563,Company_Cat!$B$2:$E$623,2,FALSE),"")</f>
        <v/>
      </c>
      <c r="B563" s="4" t="n"/>
    </row>
    <row r="564">
      <c r="A564" s="6">
        <f>IFERROR(VLOOKUP($B564,Company_Cat!$B$2:$E$623,2,FALSE),"")</f>
        <v/>
      </c>
      <c r="B564" s="4" t="n"/>
    </row>
    <row r="565">
      <c r="A565" s="6">
        <f>IFERROR(VLOOKUP($B565,Company_Cat!$B$2:$E$623,2,FALSE),"")</f>
        <v/>
      </c>
      <c r="B565" s="4" t="n"/>
    </row>
    <row r="566">
      <c r="A566" s="6">
        <f>IFERROR(VLOOKUP($B566,Company_Cat!$B$2:$E$623,2,FALSE),"")</f>
        <v/>
      </c>
      <c r="B566" s="4" t="n"/>
    </row>
    <row r="567">
      <c r="A567" s="6">
        <f>IFERROR(VLOOKUP($B567,Company_Cat!$B$2:$E$623,2,FALSE),"")</f>
        <v/>
      </c>
      <c r="B567" s="4" t="n"/>
    </row>
    <row r="568">
      <c r="A568" s="6">
        <f>IFERROR(VLOOKUP($B568,Company_Cat!$B$2:$E$623,2,FALSE),"")</f>
        <v/>
      </c>
      <c r="B568" s="4" t="n"/>
    </row>
    <row r="569">
      <c r="A569" s="6">
        <f>IFERROR(VLOOKUP($B569,Company_Cat!$B$2:$E$623,2,FALSE),"")</f>
        <v/>
      </c>
      <c r="B569" s="4" t="n"/>
    </row>
    <row r="570">
      <c r="A570" s="6">
        <f>IFERROR(VLOOKUP($B570,Company_Cat!$B$2:$E$623,2,FALSE),"")</f>
        <v/>
      </c>
      <c r="B570" s="4" t="n"/>
    </row>
    <row r="571">
      <c r="A571" s="6">
        <f>IFERROR(VLOOKUP($B571,Company_Cat!$B$2:$E$623,2,FALSE),"")</f>
        <v/>
      </c>
      <c r="B571" s="4" t="n"/>
    </row>
    <row r="572">
      <c r="A572" s="6">
        <f>IFERROR(VLOOKUP($B572,Company_Cat!$B$2:$E$623,2,FALSE),"")</f>
        <v/>
      </c>
      <c r="B572" s="4" t="n"/>
    </row>
    <row r="573">
      <c r="A573" s="6">
        <f>IFERROR(VLOOKUP($B573,Company_Cat!$B$2:$E$623,2,FALSE),"")</f>
        <v/>
      </c>
      <c r="B573" s="4" t="n"/>
    </row>
    <row r="574">
      <c r="A574" s="6">
        <f>IFERROR(VLOOKUP($B574,Company_Cat!$B$2:$E$623,2,FALSE),"")</f>
        <v/>
      </c>
      <c r="B574" s="4" t="n"/>
    </row>
    <row r="575">
      <c r="A575" s="6">
        <f>IFERROR(VLOOKUP($B575,Company_Cat!$B$2:$E$623,2,FALSE),"")</f>
        <v/>
      </c>
      <c r="B575" s="4" t="n"/>
    </row>
    <row r="576">
      <c r="A576" s="6">
        <f>IFERROR(VLOOKUP($B576,Company_Cat!$B$2:$E$623,2,FALSE),"")</f>
        <v/>
      </c>
      <c r="B576" s="4" t="n"/>
    </row>
    <row r="577">
      <c r="A577" s="6">
        <f>IFERROR(VLOOKUP($B577,Company_Cat!$B$2:$E$623,2,FALSE),"")</f>
        <v/>
      </c>
      <c r="B577" s="4" t="n"/>
    </row>
    <row r="578">
      <c r="A578" s="6">
        <f>IFERROR(VLOOKUP($B578,Company_Cat!$B$2:$E$623,2,FALSE),"")</f>
        <v/>
      </c>
      <c r="B578" s="4" t="n"/>
    </row>
    <row r="579">
      <c r="A579" s="6">
        <f>IFERROR(VLOOKUP($B579,Company_Cat!$B$2:$E$623,2,FALSE),"")</f>
        <v/>
      </c>
      <c r="B579" s="4" t="n"/>
    </row>
    <row r="580">
      <c r="A580" s="6">
        <f>IFERROR(VLOOKUP($B580,Company_Cat!$B$2:$E$623,2,FALSE),"")</f>
        <v/>
      </c>
      <c r="B580" s="4" t="n"/>
    </row>
    <row r="581">
      <c r="A581" s="6">
        <f>IFERROR(VLOOKUP($B581,Company_Cat!$B$2:$E$623,2,FALSE),"")</f>
        <v/>
      </c>
      <c r="B581" s="4" t="n"/>
    </row>
    <row r="582">
      <c r="A582" s="6">
        <f>IFERROR(VLOOKUP($B582,Company_Cat!$B$2:$E$623,2,FALSE),"")</f>
        <v/>
      </c>
      <c r="B582" s="4" t="n"/>
    </row>
    <row r="583">
      <c r="A583" s="6">
        <f>IFERROR(VLOOKUP($B583,Company_Cat!$B$2:$E$623,2,FALSE),"")</f>
        <v/>
      </c>
      <c r="B583" s="4" t="n"/>
    </row>
    <row r="584">
      <c r="A584" s="6">
        <f>IFERROR(VLOOKUP($B584,Company_Cat!$B$2:$E$623,2,FALSE),"")</f>
        <v/>
      </c>
      <c r="B584" s="4" t="n"/>
    </row>
    <row r="585">
      <c r="A585" s="6">
        <f>IFERROR(VLOOKUP($B585,Company_Cat!$B$2:$E$623,2,FALSE),"")</f>
        <v/>
      </c>
      <c r="B585" s="4" t="n"/>
    </row>
    <row r="586">
      <c r="A586" s="6">
        <f>IFERROR(VLOOKUP($B586,Company_Cat!$B$2:$E$623,2,FALSE),"")</f>
        <v/>
      </c>
      <c r="B586" s="4" t="n"/>
    </row>
    <row r="587">
      <c r="A587" s="6">
        <f>IFERROR(VLOOKUP($B587,Company_Cat!$B$2:$E$623,2,FALSE),"")</f>
        <v/>
      </c>
      <c r="B587" s="4" t="n"/>
    </row>
    <row r="588">
      <c r="A588" s="6">
        <f>IFERROR(VLOOKUP($B588,Company_Cat!$B$2:$E$623,2,FALSE),"")</f>
        <v/>
      </c>
      <c r="B588" s="4" t="n"/>
    </row>
    <row r="589">
      <c r="A589" s="6">
        <f>IFERROR(VLOOKUP($B589,Company_Cat!$B$2:$E$623,2,FALSE),"")</f>
        <v/>
      </c>
      <c r="B589" s="4" t="n"/>
    </row>
    <row r="590">
      <c r="A590" s="6">
        <f>IFERROR(VLOOKUP($B590,Company_Cat!$B$2:$E$623,2,FALSE),"")</f>
        <v/>
      </c>
      <c r="B590" s="4" t="n"/>
    </row>
    <row r="591">
      <c r="A591" s="6">
        <f>IFERROR(VLOOKUP($B591,Company_Cat!$B$2:$E$623,2,FALSE),"")</f>
        <v/>
      </c>
      <c r="B591" s="4" t="n"/>
    </row>
    <row r="592">
      <c r="A592" s="6">
        <f>IFERROR(VLOOKUP($B592,Company_Cat!$B$2:$E$623,2,FALSE),"")</f>
        <v/>
      </c>
      <c r="B592" s="4" t="n"/>
    </row>
    <row r="593">
      <c r="A593" s="6">
        <f>IFERROR(VLOOKUP($B593,Company_Cat!$B$2:$E$623,2,FALSE),"")</f>
        <v/>
      </c>
      <c r="B593" s="4" t="n"/>
    </row>
    <row r="594">
      <c r="A594" s="6">
        <f>IFERROR(VLOOKUP($B594,Company_Cat!$B$2:$E$623,2,FALSE),"")</f>
        <v/>
      </c>
      <c r="B594" s="4" t="n"/>
    </row>
    <row r="595">
      <c r="A595" s="6">
        <f>IFERROR(VLOOKUP($B595,Company_Cat!$B$2:$E$623,2,FALSE),"")</f>
        <v/>
      </c>
      <c r="B595" s="4" t="n"/>
    </row>
    <row r="596">
      <c r="A596" s="6">
        <f>IFERROR(VLOOKUP($B596,Company_Cat!$B$2:$E$623,2,FALSE),"")</f>
        <v/>
      </c>
      <c r="B596" s="4" t="n"/>
    </row>
    <row r="597">
      <c r="A597" s="6">
        <f>IFERROR(VLOOKUP($B597,Company_Cat!$B$2:$E$623,2,FALSE),"")</f>
        <v/>
      </c>
      <c r="B597" s="4" t="n"/>
    </row>
    <row r="598">
      <c r="A598" s="6">
        <f>IFERROR(VLOOKUP($B598,Company_Cat!$B$2:$E$623,2,FALSE),"")</f>
        <v/>
      </c>
      <c r="B598" s="4" t="n"/>
    </row>
    <row r="599">
      <c r="A599" s="6">
        <f>IFERROR(VLOOKUP($B599,Company_Cat!$B$2:$E$623,2,FALSE),"")</f>
        <v/>
      </c>
      <c r="B599" s="4" t="n"/>
    </row>
    <row r="600">
      <c r="A600" s="6">
        <f>IFERROR(VLOOKUP($B600,Company_Cat!$B$2:$E$623,2,FALSE),"")</f>
        <v/>
      </c>
      <c r="B600" s="4" t="n"/>
    </row>
    <row r="601">
      <c r="A601" s="6">
        <f>IFERROR(VLOOKUP($B601,Company_Cat!$B$2:$E$623,2,FALSE),"")</f>
        <v/>
      </c>
      <c r="B601" s="4" t="n"/>
    </row>
    <row r="602">
      <c r="A602" s="6">
        <f>IFERROR(VLOOKUP($B602,Company_Cat!$B$2:$E$623,2,FALSE),"")</f>
        <v/>
      </c>
      <c r="B602" s="4" t="n"/>
    </row>
    <row r="603">
      <c r="A603" s="6">
        <f>IFERROR(VLOOKUP($B603,Company_Cat!$B$2:$E$623,2,FALSE),"")</f>
        <v/>
      </c>
      <c r="B603" s="4" t="n"/>
    </row>
    <row r="604">
      <c r="A604" s="6">
        <f>IFERROR(VLOOKUP($B604,Company_Cat!$B$2:$E$623,2,FALSE),"")</f>
        <v/>
      </c>
      <c r="B604" s="4" t="n"/>
    </row>
    <row r="605">
      <c r="A605" s="6">
        <f>IFERROR(VLOOKUP($B605,Company_Cat!$B$2:$E$623,2,FALSE),"")</f>
        <v/>
      </c>
      <c r="B605" s="4" t="n"/>
    </row>
    <row r="606">
      <c r="A606" s="6">
        <f>IFERROR(VLOOKUP($B606,Company_Cat!$B$2:$E$623,2,FALSE),"")</f>
        <v/>
      </c>
      <c r="B606" s="4" t="n"/>
    </row>
    <row r="607">
      <c r="A607" s="6">
        <f>IFERROR(VLOOKUP($B607,Company_Cat!$B$2:$E$623,2,FALSE),"")</f>
        <v/>
      </c>
      <c r="B607" s="4" t="n"/>
    </row>
    <row r="608">
      <c r="A608" s="6">
        <f>IFERROR(VLOOKUP($B608,Company_Cat!$B$2:$E$623,2,FALSE),"")</f>
        <v/>
      </c>
      <c r="B608" s="4" t="n"/>
    </row>
    <row r="609">
      <c r="A609" s="6">
        <f>IFERROR(VLOOKUP($B609,Company_Cat!$B$2:$E$623,2,FALSE),"")</f>
        <v/>
      </c>
      <c r="B609" s="4" t="n"/>
    </row>
    <row r="610">
      <c r="A610" s="6">
        <f>IFERROR(VLOOKUP($B610,Company_Cat!$B$2:$E$623,2,FALSE),"")</f>
        <v/>
      </c>
      <c r="B610" s="4" t="n"/>
    </row>
    <row r="611">
      <c r="A611" s="6">
        <f>IFERROR(VLOOKUP($B611,Company_Cat!$B$2:$E$623,2,FALSE),"")</f>
        <v/>
      </c>
      <c r="B611" s="4" t="n"/>
    </row>
    <row r="612">
      <c r="A612" s="6">
        <f>IFERROR(VLOOKUP($B612,Company_Cat!$B$2:$E$623,2,FALSE),"")</f>
        <v/>
      </c>
      <c r="B612" s="4" t="n"/>
    </row>
    <row r="613">
      <c r="A613" s="6">
        <f>IFERROR(VLOOKUP($B613,Company_Cat!$B$2:$E$623,2,FALSE),"")</f>
        <v/>
      </c>
      <c r="B613" s="4" t="n"/>
    </row>
    <row r="614">
      <c r="A614" s="6">
        <f>IFERROR(VLOOKUP($B614,Company_Cat!$B$2:$E$623,2,FALSE),"")</f>
        <v/>
      </c>
      <c r="B614" s="4" t="n"/>
    </row>
    <row r="615">
      <c r="A615" s="6">
        <f>IFERROR(VLOOKUP($B615,Company_Cat!$B$2:$E$623,2,FALSE),"")</f>
        <v/>
      </c>
      <c r="B615" s="4" t="n"/>
    </row>
    <row r="616">
      <c r="A616" s="6">
        <f>IFERROR(VLOOKUP($B616,Company_Cat!$B$2:$E$623,2,FALSE),"")</f>
        <v/>
      </c>
      <c r="B616" s="4" t="n"/>
    </row>
    <row r="617">
      <c r="A617" s="6">
        <f>IFERROR(VLOOKUP($B617,Company_Cat!$B$2:$E$623,2,FALSE),"")</f>
        <v/>
      </c>
      <c r="B617" s="4" t="n"/>
    </row>
    <row r="618">
      <c r="A618" s="6">
        <f>IFERROR(VLOOKUP($B618,Company_Cat!$B$2:$E$623,2,FALSE),"")</f>
        <v/>
      </c>
      <c r="B618" s="4" t="n"/>
    </row>
    <row r="619">
      <c r="A619" s="6">
        <f>IFERROR(VLOOKUP($B619,Company_Cat!$B$2:$E$623,2,FALSE),"")</f>
        <v/>
      </c>
      <c r="B619" s="4" t="n"/>
    </row>
    <row r="620">
      <c r="A620" s="6">
        <f>IFERROR(VLOOKUP($B620,Company_Cat!$B$2:$E$623,2,FALSE),"")</f>
        <v/>
      </c>
      <c r="B620" s="4" t="n"/>
    </row>
    <row r="621">
      <c r="A621" s="6">
        <f>IFERROR(VLOOKUP($B621,Company_Cat!$B$2:$E$623,2,FALSE),"")</f>
        <v/>
      </c>
      <c r="B621" s="4" t="n"/>
    </row>
    <row r="622">
      <c r="A622" s="6">
        <f>IFERROR(VLOOKUP($B622,Company_Cat!$B$2:$E$623,2,FALSE),"")</f>
        <v/>
      </c>
      <c r="B622" s="4" t="n"/>
    </row>
    <row r="623">
      <c r="A623" s="6">
        <f>IFERROR(VLOOKUP($B623,Company_Cat!$B$2:$E$623,2,FALSE),"")</f>
        <v/>
      </c>
      <c r="B623" s="4" t="n"/>
    </row>
    <row r="624">
      <c r="A624" s="6">
        <f>IFERROR(VLOOKUP($B624,Company_Cat!$B$2:$E$623,2,FALSE),"")</f>
        <v/>
      </c>
      <c r="B624" s="4" t="n"/>
    </row>
    <row r="625">
      <c r="A625" s="6">
        <f>IFERROR(VLOOKUP($B625,Company_Cat!$B$2:$E$623,2,FALSE),"")</f>
        <v/>
      </c>
      <c r="B625" s="4" t="n"/>
    </row>
    <row r="626">
      <c r="A626" s="6">
        <f>IFERROR(VLOOKUP($B626,Company_Cat!$B$2:$E$623,2,FALSE),"")</f>
        <v/>
      </c>
      <c r="B626" s="4" t="n"/>
    </row>
    <row r="627">
      <c r="A627" s="6">
        <f>IFERROR(VLOOKUP($B627,Company_Cat!$B$2:$E$623,2,FALSE),"")</f>
        <v/>
      </c>
      <c r="B627" s="4" t="n"/>
    </row>
    <row r="628">
      <c r="A628" s="6">
        <f>IFERROR(VLOOKUP($B628,Company_Cat!$B$2:$E$623,2,FALSE),"")</f>
        <v/>
      </c>
      <c r="B628" s="4" t="n"/>
    </row>
    <row r="629">
      <c r="A629" s="6">
        <f>IFERROR(VLOOKUP($B629,Company_Cat!$B$2:$E$623,2,FALSE),"")</f>
        <v/>
      </c>
      <c r="B629" s="4" t="n"/>
    </row>
    <row r="630">
      <c r="A630" s="6">
        <f>IFERROR(VLOOKUP($B630,Company_Cat!$B$2:$E$623,2,FALSE),"")</f>
        <v/>
      </c>
      <c r="B630" s="4" t="n"/>
    </row>
    <row r="631">
      <c r="A631" s="6">
        <f>IFERROR(VLOOKUP($B631,Company_Cat!$B$2:$E$623,2,FALSE),"")</f>
        <v/>
      </c>
      <c r="B631" s="4" t="n"/>
    </row>
    <row r="632">
      <c r="A632" s="6">
        <f>IFERROR(VLOOKUP($B632,Company_Cat!$B$2:$E$623,2,FALSE),"")</f>
        <v/>
      </c>
      <c r="B632" s="4" t="n"/>
    </row>
    <row r="633">
      <c r="A633" s="6">
        <f>IFERROR(VLOOKUP($B633,Company_Cat!$B$2:$E$623,2,FALSE),"")</f>
        <v/>
      </c>
      <c r="B633" s="4" t="n"/>
    </row>
    <row r="634">
      <c r="A634" s="6">
        <f>IFERROR(VLOOKUP($B634,Company_Cat!$B$2:$E$623,2,FALSE),"")</f>
        <v/>
      </c>
      <c r="B634" s="4" t="n"/>
    </row>
    <row r="635">
      <c r="A635" s="6">
        <f>IFERROR(VLOOKUP($B635,Company_Cat!$B$2:$E$623,2,FALSE),"")</f>
        <v/>
      </c>
      <c r="B635" s="4" t="n"/>
    </row>
    <row r="636">
      <c r="A636" s="6">
        <f>IFERROR(VLOOKUP($B636,Company_Cat!$B$2:$E$623,2,FALSE),"")</f>
        <v/>
      </c>
      <c r="B636" s="4" t="n"/>
    </row>
    <row r="637">
      <c r="A637" s="6">
        <f>IFERROR(VLOOKUP($B637,Company_Cat!$B$2:$E$623,2,FALSE),"")</f>
        <v/>
      </c>
      <c r="B637" s="4" t="n"/>
    </row>
    <row r="638">
      <c r="A638" s="6">
        <f>IFERROR(VLOOKUP($B638,Company_Cat!$B$2:$E$623,2,FALSE),"")</f>
        <v/>
      </c>
      <c r="B638" s="4" t="n"/>
    </row>
    <row r="639">
      <c r="A639" s="6">
        <f>IFERROR(VLOOKUP($B639,Company_Cat!$B$2:$E$623,2,FALSE),"")</f>
        <v/>
      </c>
      <c r="B639" s="4" t="n"/>
    </row>
    <row r="640">
      <c r="A640" s="6">
        <f>IFERROR(VLOOKUP($B640,Company_Cat!$B$2:$E$623,2,FALSE),"")</f>
        <v/>
      </c>
      <c r="B640" s="4" t="n"/>
    </row>
    <row r="641">
      <c r="A641" s="6">
        <f>IFERROR(VLOOKUP($B641,Company_Cat!$B$2:$E$623,2,FALSE),"")</f>
        <v/>
      </c>
      <c r="B641" s="4" t="n"/>
    </row>
    <row r="642">
      <c r="A642" s="6">
        <f>IFERROR(VLOOKUP($B642,Company_Cat!$B$2:$E$623,2,FALSE),"")</f>
        <v/>
      </c>
      <c r="B642" s="4" t="n"/>
    </row>
    <row r="643">
      <c r="A643" s="6">
        <f>IFERROR(VLOOKUP($B643,Company_Cat!$B$2:$E$623,2,FALSE),"")</f>
        <v/>
      </c>
      <c r="B643" s="4" t="n"/>
    </row>
    <row r="644">
      <c r="A644" s="6">
        <f>IFERROR(VLOOKUP($B644,Company_Cat!$B$2:$E$623,2,FALSE),"")</f>
        <v/>
      </c>
      <c r="B644" s="4" t="n"/>
    </row>
    <row r="645">
      <c r="A645" s="6">
        <f>IFERROR(VLOOKUP($B645,Company_Cat!$B$2:$E$623,2,FALSE),"")</f>
        <v/>
      </c>
      <c r="B645" s="4" t="n"/>
    </row>
    <row r="646">
      <c r="A646" s="6">
        <f>IFERROR(VLOOKUP($B646,Company_Cat!$B$2:$E$623,2,FALSE),"")</f>
        <v/>
      </c>
      <c r="B646" s="4" t="n"/>
    </row>
    <row r="647">
      <c r="A647" s="6">
        <f>IFERROR(VLOOKUP($B647,Company_Cat!$B$2:$E$623,2,FALSE),"")</f>
        <v/>
      </c>
      <c r="B647" s="4" t="n"/>
    </row>
    <row r="648">
      <c r="A648" s="6">
        <f>IFERROR(VLOOKUP($B648,Company_Cat!$B$2:$E$623,2,FALSE),"")</f>
        <v/>
      </c>
      <c r="B648" s="4" t="n"/>
    </row>
    <row r="649">
      <c r="A649" s="6">
        <f>IFERROR(VLOOKUP($B649,Company_Cat!$B$2:$E$623,2,FALSE),"")</f>
        <v/>
      </c>
      <c r="B649" s="4" t="n"/>
    </row>
    <row r="650">
      <c r="A650" s="6">
        <f>IFERROR(VLOOKUP($B650,Company_Cat!$B$2:$E$623,2,FALSE),"")</f>
        <v/>
      </c>
      <c r="B650" s="4" t="n"/>
    </row>
    <row r="651">
      <c r="A651" s="6">
        <f>IFERROR(VLOOKUP($B651,Company_Cat!$B$2:$E$623,2,FALSE),"")</f>
        <v/>
      </c>
      <c r="B651" s="4" t="n"/>
    </row>
    <row r="652">
      <c r="A652" s="6">
        <f>IFERROR(VLOOKUP($B652,Company_Cat!$B$2:$E$623,2,FALSE),"")</f>
        <v/>
      </c>
      <c r="B652" s="4" t="n"/>
    </row>
    <row r="653">
      <c r="A653" s="6">
        <f>IFERROR(VLOOKUP($B653,Company_Cat!$B$2:$E$623,2,FALSE),"")</f>
        <v/>
      </c>
      <c r="B653" s="4" t="n"/>
    </row>
    <row r="654">
      <c r="A654" s="6">
        <f>IFERROR(VLOOKUP($B654,Company_Cat!$B$2:$E$623,2,FALSE),"")</f>
        <v/>
      </c>
      <c r="B654" s="4" t="n"/>
    </row>
    <row r="655">
      <c r="A655" s="6">
        <f>IFERROR(VLOOKUP($B655,Company_Cat!$B$2:$E$623,2,FALSE),"")</f>
        <v/>
      </c>
      <c r="B655" s="4" t="n"/>
    </row>
    <row r="656">
      <c r="A656" s="6">
        <f>IFERROR(VLOOKUP($B656,Company_Cat!$B$2:$E$623,2,FALSE),"")</f>
        <v/>
      </c>
      <c r="B656" s="4" t="n"/>
    </row>
    <row r="657">
      <c r="A657" s="6">
        <f>IFERROR(VLOOKUP($B657,Company_Cat!$B$2:$E$623,2,FALSE),"")</f>
        <v/>
      </c>
      <c r="B657" s="4" t="n"/>
    </row>
    <row r="658">
      <c r="A658" s="6">
        <f>IFERROR(VLOOKUP($B658,Company_Cat!$B$2:$E$623,2,FALSE),"")</f>
        <v/>
      </c>
      <c r="B658" s="4" t="n"/>
    </row>
    <row r="659">
      <c r="A659" s="6">
        <f>IFERROR(VLOOKUP($B659,Company_Cat!$B$2:$E$623,2,FALSE),"")</f>
        <v/>
      </c>
      <c r="B659" s="4" t="n"/>
    </row>
    <row r="660">
      <c r="A660" s="6">
        <f>IFERROR(VLOOKUP($B660,Company_Cat!$B$2:$E$623,2,FALSE),"")</f>
        <v/>
      </c>
      <c r="B660" s="4" t="n"/>
    </row>
    <row r="661">
      <c r="A661" s="6">
        <f>IFERROR(VLOOKUP($B661,Company_Cat!$B$2:$E$623,2,FALSE),"")</f>
        <v/>
      </c>
      <c r="B661" s="4" t="n"/>
    </row>
    <row r="662">
      <c r="A662" s="6">
        <f>IFERROR(VLOOKUP($B662,Company_Cat!$B$2:$E$623,2,FALSE),"")</f>
        <v/>
      </c>
      <c r="B662" s="4" t="n"/>
    </row>
    <row r="663">
      <c r="A663" s="6">
        <f>IFERROR(VLOOKUP($B663,Company_Cat!$B$2:$E$623,2,FALSE),"")</f>
        <v/>
      </c>
      <c r="B663" s="4" t="n"/>
    </row>
    <row r="664">
      <c r="A664" s="6">
        <f>IFERROR(VLOOKUP($B664,Company_Cat!$B$2:$E$623,2,FALSE),"")</f>
        <v/>
      </c>
      <c r="B664" s="4" t="n"/>
    </row>
    <row r="665">
      <c r="A665" s="6">
        <f>IFERROR(VLOOKUP($B665,Company_Cat!$B$2:$E$623,2,FALSE),"")</f>
        <v/>
      </c>
      <c r="B665" s="4" t="n"/>
    </row>
    <row r="666">
      <c r="A666" s="6">
        <f>IFERROR(VLOOKUP($B666,Company_Cat!$B$2:$E$623,2,FALSE),"")</f>
        <v/>
      </c>
      <c r="B666" s="4" t="n"/>
    </row>
    <row r="667">
      <c r="A667" s="6">
        <f>IFERROR(VLOOKUP($B667,Company_Cat!$B$2:$E$623,2,FALSE),"")</f>
        <v/>
      </c>
      <c r="B667" s="4" t="n"/>
    </row>
    <row r="668">
      <c r="A668" s="6">
        <f>IFERROR(VLOOKUP($B668,Company_Cat!$B$2:$E$623,2,FALSE),"")</f>
        <v/>
      </c>
      <c r="B668" s="4" t="n"/>
    </row>
    <row r="669">
      <c r="A669" s="6">
        <f>IFERROR(VLOOKUP($B669,Company_Cat!$B$2:$E$623,2,FALSE),"")</f>
        <v/>
      </c>
      <c r="B669" s="4" t="n"/>
    </row>
    <row r="670">
      <c r="A670" s="6">
        <f>IFERROR(VLOOKUP($B670,Company_Cat!$B$2:$E$623,2,FALSE),"")</f>
        <v/>
      </c>
      <c r="B670" s="4" t="n"/>
    </row>
    <row r="671">
      <c r="A671" s="6">
        <f>IFERROR(VLOOKUP($B671,Company_Cat!$B$2:$E$623,2,FALSE),"")</f>
        <v/>
      </c>
      <c r="B671" s="4" t="n"/>
    </row>
    <row r="672">
      <c r="A672" s="6">
        <f>IFERROR(VLOOKUP($B672,Company_Cat!$B$2:$E$623,2,FALSE),"")</f>
        <v/>
      </c>
      <c r="B672" s="4" t="n"/>
    </row>
    <row r="673">
      <c r="A673" s="6">
        <f>IFERROR(VLOOKUP($B673,Company_Cat!$B$2:$E$623,2,FALSE),"")</f>
        <v/>
      </c>
      <c r="B673" s="4" t="n"/>
    </row>
    <row r="674">
      <c r="A674" s="6">
        <f>IFERROR(VLOOKUP($B674,Company_Cat!$B$2:$E$623,2,FALSE),"")</f>
        <v/>
      </c>
      <c r="B674" s="4" t="n"/>
    </row>
    <row r="675">
      <c r="A675" s="6">
        <f>IFERROR(VLOOKUP($B675,Company_Cat!$B$2:$E$623,2,FALSE),"")</f>
        <v/>
      </c>
      <c r="B675" s="4" t="n"/>
    </row>
    <row r="676">
      <c r="A676" s="6">
        <f>IFERROR(VLOOKUP($B676,Company_Cat!$B$2:$E$623,2,FALSE),"")</f>
        <v/>
      </c>
      <c r="B676" s="4" t="n"/>
    </row>
    <row r="677">
      <c r="A677" s="6">
        <f>IFERROR(VLOOKUP($B677,Company_Cat!$B$2:$E$623,2,FALSE),"")</f>
        <v/>
      </c>
      <c r="B677" s="4" t="n"/>
    </row>
    <row r="678">
      <c r="A678" s="6">
        <f>IFERROR(VLOOKUP($B678,Company_Cat!$B$2:$E$623,2,FALSE),"")</f>
        <v/>
      </c>
      <c r="B678" s="4" t="n"/>
    </row>
    <row r="679">
      <c r="A679" s="6">
        <f>IFERROR(VLOOKUP($B679,Company_Cat!$B$2:$E$623,2,FALSE),"")</f>
        <v/>
      </c>
      <c r="B679" s="4" t="n"/>
    </row>
    <row r="680">
      <c r="A680" s="6">
        <f>IFERROR(VLOOKUP($B680,Company_Cat!$B$2:$E$623,2,FALSE),"")</f>
        <v/>
      </c>
      <c r="B680" s="4" t="n"/>
    </row>
    <row r="681">
      <c r="A681" s="6">
        <f>IFERROR(VLOOKUP($B681,Company_Cat!$B$2:$E$623,2,FALSE),"")</f>
        <v/>
      </c>
      <c r="B681" s="4" t="n"/>
    </row>
    <row r="682">
      <c r="A682" s="6">
        <f>IFERROR(VLOOKUP($B682,Company_Cat!$B$2:$E$623,2,FALSE),"")</f>
        <v/>
      </c>
      <c r="B682" s="4" t="n"/>
    </row>
    <row r="683">
      <c r="A683" s="6">
        <f>IFERROR(VLOOKUP($B683,Company_Cat!$B$2:$E$623,2,FALSE),"")</f>
        <v/>
      </c>
      <c r="B683" s="4" t="n"/>
    </row>
    <row r="684">
      <c r="A684" s="6">
        <f>IFERROR(VLOOKUP($B684,Company_Cat!$B$2:$E$623,2,FALSE),"")</f>
        <v/>
      </c>
      <c r="B684" s="4" t="n"/>
    </row>
    <row r="685">
      <c r="A685" s="6">
        <f>IFERROR(VLOOKUP($B685,Company_Cat!$B$2:$E$623,2,FALSE),"")</f>
        <v/>
      </c>
      <c r="B685" s="4" t="n"/>
    </row>
    <row r="686">
      <c r="A686" s="6">
        <f>IFERROR(VLOOKUP($B686,Company_Cat!$B$2:$E$623,2,FALSE),"")</f>
        <v/>
      </c>
      <c r="B686" s="4" t="n"/>
    </row>
    <row r="687">
      <c r="A687" s="6">
        <f>IFERROR(VLOOKUP($B687,Company_Cat!$B$2:$E$623,2,FALSE),"")</f>
        <v/>
      </c>
      <c r="B687" s="4" t="n"/>
    </row>
    <row r="688">
      <c r="A688" s="6">
        <f>IFERROR(VLOOKUP($B688,Company_Cat!$B$2:$E$623,2,FALSE),"")</f>
        <v/>
      </c>
      <c r="B688" s="4" t="n"/>
    </row>
    <row r="689">
      <c r="A689" s="6">
        <f>IFERROR(VLOOKUP($B689,Company_Cat!$B$2:$E$623,2,FALSE),"")</f>
        <v/>
      </c>
      <c r="B689" s="4" t="n"/>
    </row>
    <row r="690">
      <c r="A690" s="6">
        <f>IFERROR(VLOOKUP($B690,Company_Cat!$B$2:$E$623,2,FALSE),"")</f>
        <v/>
      </c>
      <c r="B690" s="4" t="n"/>
    </row>
    <row r="691">
      <c r="A691" s="6">
        <f>IFERROR(VLOOKUP($B691,Company_Cat!$B$2:$E$623,2,FALSE),"")</f>
        <v/>
      </c>
      <c r="B691" s="4" t="n"/>
    </row>
    <row r="692">
      <c r="A692" s="6">
        <f>IFERROR(VLOOKUP($B692,Company_Cat!$B$2:$E$623,2,FALSE),"")</f>
        <v/>
      </c>
      <c r="B692" s="4" t="n"/>
    </row>
    <row r="693">
      <c r="A693" s="6">
        <f>IFERROR(VLOOKUP($B693,Company_Cat!$B$2:$E$623,2,FALSE),"")</f>
        <v/>
      </c>
      <c r="B693" s="4" t="n"/>
    </row>
    <row r="694">
      <c r="A694" s="6">
        <f>IFERROR(VLOOKUP($B694,Company_Cat!$B$2:$E$623,2,FALSE),"")</f>
        <v/>
      </c>
      <c r="B694" s="4" t="n"/>
    </row>
    <row r="695">
      <c r="A695" s="6">
        <f>IFERROR(VLOOKUP($B695,Company_Cat!$B$2:$E$623,2,FALSE),"")</f>
        <v/>
      </c>
      <c r="B695" s="4" t="n"/>
    </row>
    <row r="696">
      <c r="A696" s="6">
        <f>IFERROR(VLOOKUP($B696,Company_Cat!$B$2:$E$623,2,FALSE),"")</f>
        <v/>
      </c>
      <c r="B696" s="4" t="n"/>
    </row>
    <row r="697">
      <c r="A697" s="6">
        <f>IFERROR(VLOOKUP($B697,Company_Cat!$B$2:$E$623,2,FALSE),"")</f>
        <v/>
      </c>
      <c r="B697" s="4" t="n"/>
    </row>
    <row r="698">
      <c r="A698" s="6">
        <f>IFERROR(VLOOKUP($B698,Company_Cat!$B$2:$E$623,2,FALSE),"")</f>
        <v/>
      </c>
      <c r="B698" s="4" t="n"/>
    </row>
    <row r="699">
      <c r="A699" s="6">
        <f>IFERROR(VLOOKUP($B699,Company_Cat!$B$2:$E$623,2,FALSE),"")</f>
        <v/>
      </c>
      <c r="B699" s="4" t="n"/>
    </row>
    <row r="700">
      <c r="A700" s="6">
        <f>IFERROR(VLOOKUP($B700,Company_Cat!$B$2:$E$623,2,FALSE),"")</f>
        <v/>
      </c>
      <c r="B700" s="4" t="n"/>
    </row>
    <row r="701">
      <c r="A701" s="6">
        <f>IFERROR(VLOOKUP($B701,Company_Cat!$B$2:$E$623,2,FALSE),"")</f>
        <v/>
      </c>
      <c r="B701" s="4" t="n"/>
    </row>
    <row r="702">
      <c r="A702" s="6">
        <f>IFERROR(VLOOKUP($B702,Company_Cat!$B$2:$E$623,2,FALSE),"")</f>
        <v/>
      </c>
      <c r="B702" s="4" t="n"/>
    </row>
    <row r="703">
      <c r="A703" s="6">
        <f>IFERROR(VLOOKUP($B703,Company_Cat!$B$2:$E$623,2,FALSE),"")</f>
        <v/>
      </c>
      <c r="B703" s="4" t="n"/>
    </row>
    <row r="704">
      <c r="A704" s="6">
        <f>IFERROR(VLOOKUP($B704,Company_Cat!$B$2:$E$623,2,FALSE),"")</f>
        <v/>
      </c>
      <c r="B704" s="4" t="n"/>
    </row>
    <row r="705">
      <c r="A705" s="6">
        <f>IFERROR(VLOOKUP($B705,Company_Cat!$B$2:$E$623,2,FALSE),"")</f>
        <v/>
      </c>
      <c r="B705" s="4" t="n"/>
    </row>
    <row r="706">
      <c r="A706" s="6">
        <f>IFERROR(VLOOKUP($B706,Company_Cat!$B$2:$E$623,2,FALSE),"")</f>
        <v/>
      </c>
      <c r="B706" s="4" t="n"/>
    </row>
    <row r="707">
      <c r="A707" s="6">
        <f>IFERROR(VLOOKUP($B707,Company_Cat!$B$2:$E$623,2,FALSE),"")</f>
        <v/>
      </c>
      <c r="B707" s="4" t="n"/>
    </row>
    <row r="708">
      <c r="A708" s="6">
        <f>IFERROR(VLOOKUP($B708,Company_Cat!$B$2:$E$623,2,FALSE),"")</f>
        <v/>
      </c>
      <c r="B708" s="4" t="n"/>
    </row>
    <row r="709">
      <c r="A709" s="6">
        <f>IFERROR(VLOOKUP($B709,Company_Cat!$B$2:$E$623,2,FALSE),"")</f>
        <v/>
      </c>
      <c r="B709" s="4" t="n"/>
    </row>
    <row r="710">
      <c r="A710" s="6">
        <f>IFERROR(VLOOKUP($B710,Company_Cat!$B$2:$E$623,2,FALSE),"")</f>
        <v/>
      </c>
      <c r="B710" s="4" t="n"/>
    </row>
    <row r="711">
      <c r="A711" s="6">
        <f>IFERROR(VLOOKUP($B711,Company_Cat!$B$2:$E$623,2,FALSE),"")</f>
        <v/>
      </c>
      <c r="B711" s="4" t="n"/>
    </row>
    <row r="712">
      <c r="A712" s="6">
        <f>IFERROR(VLOOKUP($B712,Company_Cat!$B$2:$E$623,2,FALSE),"")</f>
        <v/>
      </c>
      <c r="B712" s="4" t="n"/>
    </row>
    <row r="713">
      <c r="A713" s="6">
        <f>IFERROR(VLOOKUP($B713,Company_Cat!$B$2:$E$623,2,FALSE),"")</f>
        <v/>
      </c>
      <c r="B713" s="4" t="n"/>
    </row>
    <row r="714">
      <c r="A714" s="6">
        <f>IFERROR(VLOOKUP($B714,Company_Cat!$B$2:$E$623,2,FALSE),"")</f>
        <v/>
      </c>
      <c r="B714" s="4" t="n"/>
    </row>
    <row r="715">
      <c r="A715" s="6">
        <f>IFERROR(VLOOKUP($B715,Company_Cat!$B$2:$E$623,2,FALSE),"")</f>
        <v/>
      </c>
      <c r="B715" s="4" t="n"/>
    </row>
    <row r="716">
      <c r="A716" s="6">
        <f>IFERROR(VLOOKUP($B716,Company_Cat!$B$2:$E$623,2,FALSE),"")</f>
        <v/>
      </c>
      <c r="B716" s="4" t="n"/>
    </row>
    <row r="717">
      <c r="A717" s="6">
        <f>IFERROR(VLOOKUP($B717,Company_Cat!$B$2:$E$623,2,FALSE),"")</f>
        <v/>
      </c>
      <c r="B717" s="4" t="n"/>
    </row>
    <row r="718">
      <c r="A718" s="6">
        <f>IFERROR(VLOOKUP($B718,Company_Cat!$B$2:$E$623,2,FALSE),"")</f>
        <v/>
      </c>
      <c r="B718" s="4" t="n"/>
    </row>
    <row r="719">
      <c r="A719" s="6">
        <f>IFERROR(VLOOKUP($B719,Company_Cat!$B$2:$E$623,2,FALSE),"")</f>
        <v/>
      </c>
      <c r="B719" s="4" t="n"/>
    </row>
    <row r="720">
      <c r="A720" s="6">
        <f>IFERROR(VLOOKUP($B720,Company_Cat!$B$2:$E$623,2,FALSE),"")</f>
        <v/>
      </c>
      <c r="B720" s="4" t="n"/>
    </row>
    <row r="721">
      <c r="A721" s="6">
        <f>IFERROR(VLOOKUP($B721,Company_Cat!$B$2:$E$623,2,FALSE),"")</f>
        <v/>
      </c>
      <c r="B721" s="4" t="n"/>
    </row>
    <row r="722">
      <c r="A722" s="6">
        <f>IFERROR(VLOOKUP($B722,Company_Cat!$B$2:$E$623,2,FALSE),"")</f>
        <v/>
      </c>
      <c r="B722" s="4" t="n"/>
    </row>
    <row r="723">
      <c r="A723" s="6">
        <f>IFERROR(VLOOKUP($B723,Company_Cat!$B$2:$E$623,2,FALSE),"")</f>
        <v/>
      </c>
      <c r="B723" s="4" t="n"/>
    </row>
    <row r="724">
      <c r="A724" s="6">
        <f>IFERROR(VLOOKUP($B724,Company_Cat!$B$2:$E$623,2,FALSE),"")</f>
        <v/>
      </c>
      <c r="B724" s="4" t="n"/>
    </row>
    <row r="725">
      <c r="A725" s="6">
        <f>IFERROR(VLOOKUP($B725,Company_Cat!$B$2:$E$623,2,FALSE),"")</f>
        <v/>
      </c>
      <c r="B725" s="4" t="n"/>
    </row>
    <row r="726">
      <c r="A726" s="6">
        <f>IFERROR(VLOOKUP($B726,Company_Cat!$B$2:$E$623,2,FALSE),"")</f>
        <v/>
      </c>
      <c r="B726" s="4" t="n"/>
    </row>
    <row r="727">
      <c r="A727" s="6">
        <f>IFERROR(VLOOKUP($B727,Company_Cat!$B$2:$E$623,2,FALSE),"")</f>
        <v/>
      </c>
      <c r="B727" s="4" t="n"/>
    </row>
    <row r="728">
      <c r="A728" s="6">
        <f>IFERROR(VLOOKUP($B728,Company_Cat!$B$2:$E$623,2,FALSE),"")</f>
        <v/>
      </c>
      <c r="B728" s="4" t="n"/>
    </row>
    <row r="729">
      <c r="A729" s="6">
        <f>IFERROR(VLOOKUP($B729,Company_Cat!$B$2:$E$623,2,FALSE),"")</f>
        <v/>
      </c>
      <c r="B729" s="4" t="n"/>
    </row>
    <row r="730">
      <c r="A730" s="6">
        <f>IFERROR(VLOOKUP($B730,Company_Cat!$B$2:$E$623,2,FALSE),"")</f>
        <v/>
      </c>
      <c r="B730" s="4" t="n"/>
    </row>
    <row r="731">
      <c r="A731" s="6">
        <f>IFERROR(VLOOKUP($B731,Company_Cat!$B$2:$E$623,2,FALSE),"")</f>
        <v/>
      </c>
      <c r="B731" s="4" t="n"/>
    </row>
    <row r="732">
      <c r="A732" s="6">
        <f>IFERROR(VLOOKUP($B732,Company_Cat!$B$2:$E$623,2,FALSE),"")</f>
        <v/>
      </c>
      <c r="B732" s="4" t="n"/>
    </row>
    <row r="733">
      <c r="A733" s="6">
        <f>IFERROR(VLOOKUP($B733,Company_Cat!$B$2:$E$623,2,FALSE),"")</f>
        <v/>
      </c>
      <c r="B733" s="4" t="n"/>
    </row>
    <row r="734">
      <c r="A734" s="6">
        <f>IFERROR(VLOOKUP($B734,Company_Cat!$B$2:$E$623,2,FALSE),"")</f>
        <v/>
      </c>
      <c r="B734" s="4" t="n"/>
    </row>
    <row r="735">
      <c r="A735" s="6">
        <f>IFERROR(VLOOKUP($B735,Company_Cat!$B$2:$E$623,2,FALSE),"")</f>
        <v/>
      </c>
      <c r="B735" s="4" t="n"/>
    </row>
    <row r="736">
      <c r="A736" s="6">
        <f>IFERROR(VLOOKUP($B736,Company_Cat!$B$2:$E$623,2,FALSE),"")</f>
        <v/>
      </c>
      <c r="B736" s="4" t="n"/>
    </row>
    <row r="737">
      <c r="A737" s="6">
        <f>IFERROR(VLOOKUP($B737,Company_Cat!$B$2:$E$623,2,FALSE),"")</f>
        <v/>
      </c>
      <c r="B737" s="4" t="n"/>
    </row>
    <row r="738">
      <c r="A738" s="6">
        <f>IFERROR(VLOOKUP($B738,Company_Cat!$B$2:$E$623,2,FALSE),"")</f>
        <v/>
      </c>
      <c r="B738" s="4" t="n"/>
    </row>
    <row r="739">
      <c r="A739" s="6">
        <f>IFERROR(VLOOKUP($B739,Company_Cat!$B$2:$E$623,2,FALSE),"")</f>
        <v/>
      </c>
      <c r="B739" s="4" t="n"/>
    </row>
    <row r="740">
      <c r="A740" s="6">
        <f>IFERROR(VLOOKUP($B740,Company_Cat!$B$2:$E$623,2,FALSE),"")</f>
        <v/>
      </c>
      <c r="B740" s="4" t="n"/>
    </row>
    <row r="741">
      <c r="A741" s="6">
        <f>IFERROR(VLOOKUP($B741,Company_Cat!$B$2:$E$623,2,FALSE),"")</f>
        <v/>
      </c>
      <c r="B741" s="4" t="n"/>
    </row>
    <row r="742">
      <c r="A742" s="6">
        <f>IFERROR(VLOOKUP($B742,Company_Cat!$B$2:$E$623,2,FALSE),"")</f>
        <v/>
      </c>
      <c r="B742" s="4" t="n"/>
    </row>
    <row r="743">
      <c r="A743" s="6">
        <f>IFERROR(VLOOKUP($B743,Company_Cat!$B$2:$E$623,2,FALSE),"")</f>
        <v/>
      </c>
      <c r="B743" s="4" t="n"/>
    </row>
    <row r="744">
      <c r="A744" s="6">
        <f>IFERROR(VLOOKUP($B744,Company_Cat!$B$2:$E$623,2,FALSE),"")</f>
        <v/>
      </c>
      <c r="B744" s="4" t="n"/>
    </row>
    <row r="745">
      <c r="A745" s="6">
        <f>IFERROR(VLOOKUP($B745,Company_Cat!$B$2:$E$623,2,FALSE),"")</f>
        <v/>
      </c>
      <c r="B745" s="4" t="n"/>
    </row>
    <row r="746">
      <c r="A746" s="6">
        <f>IFERROR(VLOOKUP($B746,Company_Cat!$B$2:$E$623,2,FALSE),"")</f>
        <v/>
      </c>
      <c r="B746" s="4" t="n"/>
    </row>
    <row r="747">
      <c r="A747" s="6">
        <f>IFERROR(VLOOKUP($B747,Company_Cat!$B$2:$E$623,2,FALSE),"")</f>
        <v/>
      </c>
      <c r="B747" s="4" t="n"/>
    </row>
    <row r="748">
      <c r="A748" s="6">
        <f>IFERROR(VLOOKUP($B748,Company_Cat!$B$2:$E$623,2,FALSE),"")</f>
        <v/>
      </c>
      <c r="B748" s="4" t="n"/>
    </row>
    <row r="749">
      <c r="A749" s="6">
        <f>IFERROR(VLOOKUP($B749,Company_Cat!$B$2:$E$623,2,FALSE),"")</f>
        <v/>
      </c>
      <c r="B749" s="4" t="n"/>
    </row>
    <row r="750">
      <c r="A750" s="6">
        <f>IFERROR(VLOOKUP($B750,Company_Cat!$B$2:$E$623,2,FALSE),"")</f>
        <v/>
      </c>
      <c r="B750" s="4" t="n"/>
    </row>
    <row r="751">
      <c r="A751" s="6">
        <f>IFERROR(VLOOKUP($B751,Company_Cat!$B$2:$E$623,2,FALSE),"")</f>
        <v/>
      </c>
      <c r="B751" s="4" t="n"/>
    </row>
    <row r="752">
      <c r="A752" s="6">
        <f>IFERROR(VLOOKUP($B752,Company_Cat!$B$2:$E$623,2,FALSE),"")</f>
        <v/>
      </c>
      <c r="B752" s="4" t="n"/>
    </row>
    <row r="753">
      <c r="A753" s="6">
        <f>IFERROR(VLOOKUP($B753,Company_Cat!$B$2:$E$623,2,FALSE),"")</f>
        <v/>
      </c>
      <c r="B753" s="4" t="n"/>
    </row>
    <row r="754">
      <c r="A754" s="6">
        <f>IFERROR(VLOOKUP($B754,Company_Cat!$B$2:$E$623,2,FALSE),"")</f>
        <v/>
      </c>
      <c r="B754" s="4" t="n"/>
    </row>
    <row r="755">
      <c r="A755" s="6">
        <f>IFERROR(VLOOKUP($B755,Company_Cat!$B$2:$E$623,2,FALSE),"")</f>
        <v/>
      </c>
      <c r="B755" s="4" t="n"/>
    </row>
    <row r="756">
      <c r="A756" s="6">
        <f>IFERROR(VLOOKUP($B756,Company_Cat!$B$2:$E$623,2,FALSE),"")</f>
        <v/>
      </c>
      <c r="B756" s="4" t="n"/>
    </row>
    <row r="757">
      <c r="A757" s="6">
        <f>IFERROR(VLOOKUP($B757,Company_Cat!$B$2:$E$623,2,FALSE),"")</f>
        <v/>
      </c>
      <c r="B757" s="4" t="n"/>
    </row>
    <row r="758">
      <c r="A758" s="6">
        <f>IFERROR(VLOOKUP($B758,Company_Cat!$B$2:$E$623,2,FALSE),"")</f>
        <v/>
      </c>
      <c r="B758" s="4" t="n"/>
    </row>
    <row r="759">
      <c r="A759" s="6">
        <f>IFERROR(VLOOKUP($B759,Company_Cat!$B$2:$E$623,2,FALSE),"")</f>
        <v/>
      </c>
      <c r="B759" s="4" t="n"/>
    </row>
    <row r="760">
      <c r="A760" s="6">
        <f>IFERROR(VLOOKUP($B760,Company_Cat!$B$2:$E$623,2,FALSE),"")</f>
        <v/>
      </c>
      <c r="B760" s="4" t="n"/>
    </row>
    <row r="761">
      <c r="A761" s="6">
        <f>IFERROR(VLOOKUP($B761,Company_Cat!$B$2:$E$623,2,FALSE),"")</f>
        <v/>
      </c>
      <c r="B761" s="4" t="n"/>
    </row>
    <row r="762">
      <c r="A762" s="6">
        <f>IFERROR(VLOOKUP($B762,Company_Cat!$B$2:$E$623,2,FALSE),"")</f>
        <v/>
      </c>
      <c r="B762" s="4" t="n"/>
    </row>
    <row r="763">
      <c r="A763" s="6">
        <f>IFERROR(VLOOKUP($B763,Company_Cat!$B$2:$E$623,2,FALSE),"")</f>
        <v/>
      </c>
      <c r="B763" s="4" t="n"/>
    </row>
    <row r="764">
      <c r="A764" s="6">
        <f>IFERROR(VLOOKUP($B764,Company_Cat!$B$2:$E$623,2,FALSE),"")</f>
        <v/>
      </c>
      <c r="B764" s="4" t="n"/>
    </row>
    <row r="765">
      <c r="A765" s="6">
        <f>IFERROR(VLOOKUP($B765,Company_Cat!$B$2:$E$623,2,FALSE),"")</f>
        <v/>
      </c>
      <c r="B765" s="4" t="n"/>
    </row>
    <row r="766">
      <c r="A766" s="6">
        <f>IFERROR(VLOOKUP($B766,Company_Cat!$B$2:$E$623,2,FALSE),"")</f>
        <v/>
      </c>
      <c r="B766" s="4" t="n"/>
    </row>
    <row r="767">
      <c r="A767" s="6">
        <f>IFERROR(VLOOKUP($B767,Company_Cat!$B$2:$E$623,2,FALSE),"")</f>
        <v/>
      </c>
      <c r="B767" s="4" t="n"/>
    </row>
    <row r="768">
      <c r="A768" s="6">
        <f>IFERROR(VLOOKUP($B768,Company_Cat!$B$2:$E$623,2,FALSE),"")</f>
        <v/>
      </c>
      <c r="B768" s="4" t="n"/>
    </row>
    <row r="769">
      <c r="A769" s="6">
        <f>IFERROR(VLOOKUP($B769,Company_Cat!$B$2:$E$623,2,FALSE),"")</f>
        <v/>
      </c>
      <c r="B769" s="4" t="n"/>
    </row>
    <row r="770">
      <c r="A770" s="6">
        <f>IFERROR(VLOOKUP($B770,Company_Cat!$B$2:$E$623,2,FALSE),"")</f>
        <v/>
      </c>
      <c r="B770" s="4" t="n"/>
    </row>
    <row r="771">
      <c r="A771" s="6">
        <f>IFERROR(VLOOKUP($B771,Company_Cat!$B$2:$E$623,2,FALSE),"")</f>
        <v/>
      </c>
      <c r="B771" s="4" t="n"/>
    </row>
    <row r="772">
      <c r="A772" s="6">
        <f>IFERROR(VLOOKUP($B772,Company_Cat!$B$2:$E$623,2,FALSE),"")</f>
        <v/>
      </c>
      <c r="B772" s="4" t="n"/>
    </row>
    <row r="773">
      <c r="A773" s="6">
        <f>IFERROR(VLOOKUP($B773,Company_Cat!$B$2:$E$623,2,FALSE),"")</f>
        <v/>
      </c>
      <c r="B773" s="4" t="n"/>
    </row>
    <row r="774">
      <c r="A774" s="6">
        <f>IFERROR(VLOOKUP($B774,Company_Cat!$B$2:$E$623,2,FALSE),"")</f>
        <v/>
      </c>
      <c r="B774" s="4" t="n"/>
    </row>
    <row r="775">
      <c r="A775" s="6">
        <f>IFERROR(VLOOKUP($B775,Company_Cat!$B$2:$E$623,2,FALSE),"")</f>
        <v/>
      </c>
      <c r="B775" s="4" t="n"/>
    </row>
    <row r="776">
      <c r="A776" s="6">
        <f>IFERROR(VLOOKUP($B776,Company_Cat!$B$2:$E$623,2,FALSE),"")</f>
        <v/>
      </c>
      <c r="B776" s="4" t="n"/>
    </row>
    <row r="777">
      <c r="A777" s="6">
        <f>IFERROR(VLOOKUP($B777,Company_Cat!$B$2:$E$623,2,FALSE),"")</f>
        <v/>
      </c>
      <c r="B777" s="4" t="n"/>
    </row>
    <row r="778">
      <c r="A778" s="6">
        <f>IFERROR(VLOOKUP($B778,Company_Cat!$B$2:$E$623,2,FALSE),"")</f>
        <v/>
      </c>
      <c r="B778" s="4" t="n"/>
    </row>
    <row r="779">
      <c r="A779" s="6">
        <f>IFERROR(VLOOKUP($B779,Company_Cat!$B$2:$E$623,2,FALSE),"")</f>
        <v/>
      </c>
      <c r="B779" s="4" t="n"/>
    </row>
    <row r="780">
      <c r="A780" s="6">
        <f>IFERROR(VLOOKUP($B780,Company_Cat!$B$2:$E$623,2,FALSE),"")</f>
        <v/>
      </c>
      <c r="B780" s="4" t="n"/>
    </row>
    <row r="781">
      <c r="A781" s="6">
        <f>IFERROR(VLOOKUP($B781,Company_Cat!$B$2:$E$623,2,FALSE),"")</f>
        <v/>
      </c>
      <c r="B781" s="4" t="n"/>
    </row>
    <row r="782">
      <c r="A782" s="6">
        <f>IFERROR(VLOOKUP($B782,Company_Cat!$B$2:$E$623,2,FALSE),"")</f>
        <v/>
      </c>
      <c r="B782" s="4" t="n"/>
    </row>
    <row r="783">
      <c r="A783" s="6">
        <f>IFERROR(VLOOKUP($B783,Company_Cat!$B$2:$E$623,2,FALSE),"")</f>
        <v/>
      </c>
      <c r="B783" s="4" t="n"/>
    </row>
    <row r="784">
      <c r="A784" s="6">
        <f>IFERROR(VLOOKUP($B784,Company_Cat!$B$2:$E$623,2,FALSE),"")</f>
        <v/>
      </c>
      <c r="B784" s="4" t="n"/>
    </row>
    <row r="785">
      <c r="A785" s="6">
        <f>IFERROR(VLOOKUP($B785,Company_Cat!$B$2:$E$623,2,FALSE),"")</f>
        <v/>
      </c>
      <c r="B785" s="4" t="n"/>
    </row>
    <row r="786">
      <c r="A786" s="6">
        <f>IFERROR(VLOOKUP($B786,Company_Cat!$B$2:$E$623,2,FALSE),"")</f>
        <v/>
      </c>
      <c r="B786" s="4" t="n"/>
    </row>
    <row r="787">
      <c r="A787" s="6">
        <f>IFERROR(VLOOKUP($B787,Company_Cat!$B$2:$E$623,2,FALSE),"")</f>
        <v/>
      </c>
      <c r="B787" s="4" t="n"/>
    </row>
    <row r="788">
      <c r="A788" s="6">
        <f>IFERROR(VLOOKUP($B788,Company_Cat!$B$2:$E$623,2,FALSE),"")</f>
        <v/>
      </c>
      <c r="B788" s="4" t="n"/>
    </row>
    <row r="789">
      <c r="A789" s="6">
        <f>IFERROR(VLOOKUP($B789,Company_Cat!$B$2:$E$623,2,FALSE),"")</f>
        <v/>
      </c>
      <c r="B789" s="4" t="n"/>
    </row>
    <row r="790">
      <c r="A790" s="6">
        <f>IFERROR(VLOOKUP($B790,Company_Cat!$B$2:$E$623,2,FALSE),"")</f>
        <v/>
      </c>
      <c r="B790" s="4" t="n"/>
    </row>
    <row r="791">
      <c r="A791" s="6">
        <f>IFERROR(VLOOKUP($B791,Company_Cat!$B$2:$E$623,2,FALSE),"")</f>
        <v/>
      </c>
      <c r="B791" s="4" t="n"/>
    </row>
    <row r="792">
      <c r="A792" s="6">
        <f>IFERROR(VLOOKUP($B792,Company_Cat!$B$2:$E$623,2,FALSE),"")</f>
        <v/>
      </c>
      <c r="B792" s="4" t="n"/>
    </row>
    <row r="793">
      <c r="A793" s="6">
        <f>IFERROR(VLOOKUP($B793,Company_Cat!$B$2:$E$623,2,FALSE),"")</f>
        <v/>
      </c>
      <c r="B793" s="4" t="n"/>
    </row>
    <row r="794">
      <c r="A794" s="6">
        <f>IFERROR(VLOOKUP($B794,Company_Cat!$B$2:$E$623,2,FALSE),"")</f>
        <v/>
      </c>
      <c r="B794" s="4" t="n"/>
    </row>
    <row r="795">
      <c r="A795" s="6">
        <f>IFERROR(VLOOKUP($B795,Company_Cat!$B$2:$E$623,2,FALSE),"")</f>
        <v/>
      </c>
      <c r="B795" s="4" t="n"/>
    </row>
    <row r="796">
      <c r="A796" s="6">
        <f>IFERROR(VLOOKUP($B796,Company_Cat!$B$2:$E$623,2,FALSE),"")</f>
        <v/>
      </c>
      <c r="B796" s="4" t="n"/>
    </row>
    <row r="797">
      <c r="A797" s="6">
        <f>IFERROR(VLOOKUP($B797,Company_Cat!$B$2:$E$623,2,FALSE),"")</f>
        <v/>
      </c>
      <c r="B797" s="4" t="n"/>
    </row>
    <row r="798">
      <c r="A798" s="6">
        <f>IFERROR(VLOOKUP($B798,Company_Cat!$B$2:$E$623,2,FALSE),"")</f>
        <v/>
      </c>
      <c r="B798" s="4" t="n"/>
    </row>
    <row r="799">
      <c r="A799" s="6">
        <f>IFERROR(VLOOKUP($B799,Company_Cat!$B$2:$E$623,2,FALSE),"")</f>
        <v/>
      </c>
      <c r="B799" s="4" t="n"/>
    </row>
    <row r="800">
      <c r="A800" s="6">
        <f>IFERROR(VLOOKUP($B800,Company_Cat!$B$2:$E$623,2,FALSE),"")</f>
        <v/>
      </c>
      <c r="B800" s="4" t="n"/>
    </row>
    <row r="801">
      <c r="A801" s="6">
        <f>IFERROR(VLOOKUP($B801,Company_Cat!$B$2:$E$623,2,FALSE),"")</f>
        <v/>
      </c>
      <c r="B801" s="4" t="n"/>
    </row>
    <row r="802">
      <c r="A802" s="6">
        <f>IFERROR(VLOOKUP($B802,Company_Cat!$B$2:$E$623,2,FALSE),"")</f>
        <v/>
      </c>
      <c r="B802" s="4" t="n"/>
    </row>
    <row r="803">
      <c r="A803" s="6">
        <f>IFERROR(VLOOKUP($B803,Company_Cat!$B$2:$E$623,2,FALSE),"")</f>
        <v/>
      </c>
      <c r="B803" s="4" t="n"/>
    </row>
    <row r="804">
      <c r="A804" s="6">
        <f>IFERROR(VLOOKUP($B804,Company_Cat!$B$2:$E$623,2,FALSE),"")</f>
        <v/>
      </c>
      <c r="B804" s="4" t="n"/>
    </row>
    <row r="805">
      <c r="A805" s="6">
        <f>IFERROR(VLOOKUP($B805,Company_Cat!$B$2:$E$623,2,FALSE),"")</f>
        <v/>
      </c>
      <c r="B805" s="4" t="n"/>
    </row>
    <row r="806">
      <c r="A806" s="6">
        <f>IFERROR(VLOOKUP($B806,Company_Cat!$B$2:$E$623,2,FALSE),"")</f>
        <v/>
      </c>
      <c r="B806" s="4" t="n"/>
    </row>
    <row r="807">
      <c r="A807" s="6">
        <f>IFERROR(VLOOKUP($B807,Company_Cat!$B$2:$E$623,2,FALSE),"")</f>
        <v/>
      </c>
      <c r="B807" s="4" t="n"/>
    </row>
    <row r="808">
      <c r="A808" s="6">
        <f>IFERROR(VLOOKUP($B808,Company_Cat!$B$2:$E$623,2,FALSE),"")</f>
        <v/>
      </c>
      <c r="B808" s="4" t="n"/>
    </row>
    <row r="809">
      <c r="A809" s="6">
        <f>IFERROR(VLOOKUP($B809,Company_Cat!$B$2:$E$623,2,FALSE),"")</f>
        <v/>
      </c>
      <c r="B809" s="4" t="n"/>
    </row>
    <row r="810">
      <c r="A810" s="6">
        <f>IFERROR(VLOOKUP($B810,Company_Cat!$B$2:$E$623,2,FALSE),"")</f>
        <v/>
      </c>
      <c r="B810" s="4" t="n"/>
    </row>
    <row r="811">
      <c r="A811" s="6">
        <f>IFERROR(VLOOKUP($B811,Company_Cat!$B$2:$E$623,2,FALSE),"")</f>
        <v/>
      </c>
      <c r="B811" s="4" t="n"/>
    </row>
    <row r="812">
      <c r="A812" s="6">
        <f>IFERROR(VLOOKUP($B812,Company_Cat!$B$2:$E$623,2,FALSE),"")</f>
        <v/>
      </c>
      <c r="B812" s="4" t="n"/>
    </row>
    <row r="813">
      <c r="A813" s="6">
        <f>IFERROR(VLOOKUP($B813,Company_Cat!$B$2:$E$623,2,FALSE),"")</f>
        <v/>
      </c>
      <c r="B813" s="4" t="n"/>
    </row>
    <row r="814">
      <c r="A814" s="6">
        <f>IFERROR(VLOOKUP($B814,Company_Cat!$B$2:$E$623,2,FALSE),"")</f>
        <v/>
      </c>
      <c r="B814" s="4" t="n"/>
    </row>
    <row r="815">
      <c r="A815" s="6">
        <f>IFERROR(VLOOKUP($B815,Company_Cat!$B$2:$E$623,2,FALSE),"")</f>
        <v/>
      </c>
      <c r="B815" s="4" t="n"/>
    </row>
    <row r="816">
      <c r="A816" s="6">
        <f>IFERROR(VLOOKUP($B816,Company_Cat!$B$2:$E$623,2,FALSE),"")</f>
        <v/>
      </c>
      <c r="B816" s="4" t="n"/>
    </row>
    <row r="817">
      <c r="A817" s="6">
        <f>IFERROR(VLOOKUP($B817,Company_Cat!$B$2:$E$623,2,FALSE),"")</f>
        <v/>
      </c>
      <c r="B817" s="4" t="n"/>
    </row>
    <row r="818">
      <c r="A818" s="6">
        <f>IFERROR(VLOOKUP($B818,Company_Cat!$B$2:$E$623,2,FALSE),"")</f>
        <v/>
      </c>
      <c r="B818" s="4" t="n"/>
    </row>
    <row r="819">
      <c r="A819" s="6">
        <f>IFERROR(VLOOKUP($B819,Company_Cat!$B$2:$E$623,2,FALSE),"")</f>
        <v/>
      </c>
      <c r="B819" s="4" t="n"/>
    </row>
    <row r="820">
      <c r="A820" s="6">
        <f>IFERROR(VLOOKUP($B820,Company_Cat!$B$2:$E$623,2,FALSE),"")</f>
        <v/>
      </c>
      <c r="B820" s="4" t="n"/>
    </row>
    <row r="821">
      <c r="A821" s="6">
        <f>IFERROR(VLOOKUP($B821,Company_Cat!$B$2:$E$623,2,FALSE),"")</f>
        <v/>
      </c>
      <c r="B821" s="4" t="n"/>
    </row>
    <row r="822">
      <c r="A822" s="6">
        <f>IFERROR(VLOOKUP($B822,Company_Cat!$B$2:$E$623,2,FALSE),"")</f>
        <v/>
      </c>
      <c r="B822" s="4" t="n"/>
    </row>
    <row r="823">
      <c r="A823" s="6">
        <f>IFERROR(VLOOKUP($B823,Company_Cat!$B$2:$E$623,2,FALSE),"")</f>
        <v/>
      </c>
      <c r="B823" s="4" t="n"/>
    </row>
    <row r="824">
      <c r="A824" s="6">
        <f>IFERROR(VLOOKUP($B824,Company_Cat!$B$2:$E$623,2,FALSE),"")</f>
        <v/>
      </c>
      <c r="B824" s="4" t="n"/>
    </row>
    <row r="825">
      <c r="A825" s="6">
        <f>IFERROR(VLOOKUP($B825,Company_Cat!$B$2:$E$623,2,FALSE),"")</f>
        <v/>
      </c>
      <c r="B825" s="4" t="n"/>
    </row>
    <row r="826">
      <c r="A826" s="6">
        <f>IFERROR(VLOOKUP($B826,Company_Cat!$B$2:$E$623,2,FALSE),"")</f>
        <v/>
      </c>
      <c r="B826" s="4" t="n"/>
    </row>
    <row r="827">
      <c r="A827" s="6">
        <f>IFERROR(VLOOKUP($B827,Company_Cat!$B$2:$E$623,2,FALSE),"")</f>
        <v/>
      </c>
      <c r="B827" s="4" t="n"/>
    </row>
    <row r="828">
      <c r="A828" s="6">
        <f>IFERROR(VLOOKUP($B828,Company_Cat!$B$2:$E$623,2,FALSE),"")</f>
        <v/>
      </c>
      <c r="B828" s="4" t="n"/>
    </row>
    <row r="829">
      <c r="A829" s="6">
        <f>IFERROR(VLOOKUP($B829,Company_Cat!$B$2:$E$623,2,FALSE),"")</f>
        <v/>
      </c>
      <c r="B829" s="4" t="n"/>
    </row>
    <row r="830">
      <c r="A830" s="6">
        <f>IFERROR(VLOOKUP($B830,Company_Cat!$B$2:$E$623,2,FALSE),"")</f>
        <v/>
      </c>
      <c r="B830" s="4" t="n"/>
    </row>
    <row r="831">
      <c r="A831" s="6">
        <f>IFERROR(VLOOKUP($B831,Company_Cat!$B$2:$E$623,2,FALSE),"")</f>
        <v/>
      </c>
      <c r="B831" s="4" t="n"/>
    </row>
    <row r="832">
      <c r="A832" s="6">
        <f>IFERROR(VLOOKUP($B832,Company_Cat!$B$2:$E$623,2,FALSE),"")</f>
        <v/>
      </c>
      <c r="B832" s="4" t="n"/>
    </row>
    <row r="833">
      <c r="A833" s="6">
        <f>IFERROR(VLOOKUP($B833,Company_Cat!$B$2:$E$623,2,FALSE),"")</f>
        <v/>
      </c>
      <c r="B833" s="4" t="n"/>
    </row>
    <row r="834">
      <c r="A834" s="6">
        <f>IFERROR(VLOOKUP($B834,Company_Cat!$B$2:$E$623,2,FALSE),"")</f>
        <v/>
      </c>
      <c r="B834" s="4" t="n"/>
    </row>
    <row r="835">
      <c r="A835" s="6">
        <f>IFERROR(VLOOKUP($B835,Company_Cat!$B$2:$E$623,2,FALSE),"")</f>
        <v/>
      </c>
      <c r="B835" s="4" t="n"/>
    </row>
    <row r="836">
      <c r="A836" s="6">
        <f>IFERROR(VLOOKUP($B836,Company_Cat!$B$2:$E$623,2,FALSE),"")</f>
        <v/>
      </c>
      <c r="B836" s="4" t="n"/>
    </row>
    <row r="837">
      <c r="A837" s="6">
        <f>IFERROR(VLOOKUP($B837,Company_Cat!$B$2:$E$623,2,FALSE),"")</f>
        <v/>
      </c>
      <c r="B837" s="4" t="n"/>
    </row>
    <row r="838">
      <c r="A838" s="6">
        <f>IFERROR(VLOOKUP($B838,Company_Cat!$B$2:$E$623,2,FALSE),"")</f>
        <v/>
      </c>
      <c r="B838" s="4" t="n"/>
    </row>
    <row r="839">
      <c r="A839" s="6">
        <f>IFERROR(VLOOKUP($B839,Company_Cat!$B$2:$E$623,2,FALSE),"")</f>
        <v/>
      </c>
      <c r="B839" s="4" t="n"/>
    </row>
    <row r="840">
      <c r="A840" s="6">
        <f>IFERROR(VLOOKUP($B840,Company_Cat!$B$2:$E$623,2,FALSE),"")</f>
        <v/>
      </c>
      <c r="B840" s="4" t="n"/>
    </row>
    <row r="841">
      <c r="A841" s="6">
        <f>IFERROR(VLOOKUP($B841,Company_Cat!$B$2:$E$623,2,FALSE),"")</f>
        <v/>
      </c>
      <c r="B841" s="4" t="n"/>
    </row>
    <row r="842">
      <c r="A842" s="6">
        <f>IFERROR(VLOOKUP($B842,Company_Cat!$B$2:$E$623,2,FALSE),"")</f>
        <v/>
      </c>
      <c r="B842" s="4" t="n"/>
    </row>
    <row r="843">
      <c r="A843" s="6">
        <f>IFERROR(VLOOKUP($B843,Company_Cat!$B$2:$E$623,2,FALSE),"")</f>
        <v/>
      </c>
      <c r="B843" s="4" t="n"/>
    </row>
    <row r="844">
      <c r="A844" s="6">
        <f>IFERROR(VLOOKUP($B844,Company_Cat!$B$2:$E$623,2,FALSE),"")</f>
        <v/>
      </c>
      <c r="B844" s="4" t="n"/>
    </row>
    <row r="845">
      <c r="A845" s="6">
        <f>IFERROR(VLOOKUP($B845,Company_Cat!$B$2:$E$623,2,FALSE),"")</f>
        <v/>
      </c>
      <c r="B845" s="4" t="n"/>
    </row>
    <row r="846">
      <c r="A846" s="6">
        <f>IFERROR(VLOOKUP($B846,Company_Cat!$B$2:$E$623,2,FALSE),"")</f>
        <v/>
      </c>
      <c r="B846" s="4" t="n"/>
    </row>
    <row r="847">
      <c r="A847" s="6">
        <f>IFERROR(VLOOKUP($B847,Company_Cat!$B$2:$E$623,2,FALSE),"")</f>
        <v/>
      </c>
      <c r="B847" s="4" t="n"/>
    </row>
    <row r="848">
      <c r="A848" s="6">
        <f>IFERROR(VLOOKUP($B848,Company_Cat!$B$2:$E$623,2,FALSE),"")</f>
        <v/>
      </c>
      <c r="B848" s="4" t="n"/>
    </row>
    <row r="849">
      <c r="A849" s="6">
        <f>IFERROR(VLOOKUP($B849,Company_Cat!$B$2:$E$623,2,FALSE),"")</f>
        <v/>
      </c>
      <c r="B849" s="4" t="n"/>
    </row>
    <row r="850">
      <c r="A850" s="6">
        <f>IFERROR(VLOOKUP($B850,Company_Cat!$B$2:$E$623,2,FALSE),"")</f>
        <v/>
      </c>
      <c r="B850" s="4" t="n"/>
    </row>
    <row r="851">
      <c r="A851" s="6">
        <f>IFERROR(VLOOKUP($B851,Company_Cat!$B$2:$E$623,2,FALSE),"")</f>
        <v/>
      </c>
      <c r="B851" s="4" t="n"/>
    </row>
    <row r="852">
      <c r="A852" s="6">
        <f>IFERROR(VLOOKUP($B852,Company_Cat!$B$2:$E$623,2,FALSE),"")</f>
        <v/>
      </c>
      <c r="B852" s="4" t="n"/>
    </row>
    <row r="853">
      <c r="A853" s="6">
        <f>IFERROR(VLOOKUP($B853,Company_Cat!$B$2:$E$623,2,FALSE),"")</f>
        <v/>
      </c>
      <c r="B853" s="4" t="n"/>
    </row>
    <row r="854">
      <c r="A854" s="6">
        <f>IFERROR(VLOOKUP($B854,Company_Cat!$B$2:$E$623,2,FALSE),"")</f>
        <v/>
      </c>
      <c r="B854" s="4" t="n"/>
    </row>
    <row r="855">
      <c r="A855" s="6">
        <f>IFERROR(VLOOKUP($B855,Company_Cat!$B$2:$E$623,2,FALSE),"")</f>
        <v/>
      </c>
      <c r="B855" s="4" t="n"/>
    </row>
    <row r="856">
      <c r="A856" s="6">
        <f>IFERROR(VLOOKUP($B856,Company_Cat!$B$2:$E$623,2,FALSE),"")</f>
        <v/>
      </c>
      <c r="B856" s="4" t="n"/>
    </row>
    <row r="857">
      <c r="A857" s="6">
        <f>IFERROR(VLOOKUP($B857,Company_Cat!$B$2:$E$623,2,FALSE),"")</f>
        <v/>
      </c>
      <c r="B857" s="4" t="n"/>
    </row>
    <row r="858">
      <c r="A858" s="6">
        <f>IFERROR(VLOOKUP($B858,Company_Cat!$B$2:$E$623,2,FALSE),"")</f>
        <v/>
      </c>
      <c r="B858" s="4" t="n"/>
    </row>
    <row r="859">
      <c r="A859" s="6">
        <f>IFERROR(VLOOKUP($B859,Company_Cat!$B$2:$E$623,2,FALSE),"")</f>
        <v/>
      </c>
      <c r="B859" s="4" t="n"/>
    </row>
    <row r="860">
      <c r="A860" s="6">
        <f>IFERROR(VLOOKUP($B860,Company_Cat!$B$2:$E$623,2,FALSE),"")</f>
        <v/>
      </c>
      <c r="B860" s="4" t="n"/>
    </row>
    <row r="861">
      <c r="A861" s="6">
        <f>IFERROR(VLOOKUP($B861,Company_Cat!$B$2:$E$623,2,FALSE),"")</f>
        <v/>
      </c>
      <c r="B861" s="4" t="n"/>
    </row>
    <row r="862">
      <c r="A862" s="6">
        <f>IFERROR(VLOOKUP($B862,Company_Cat!$B$2:$E$623,2,FALSE),"")</f>
        <v/>
      </c>
      <c r="B862" s="4" t="n"/>
    </row>
    <row r="863">
      <c r="A863" s="6">
        <f>IFERROR(VLOOKUP($B863,Company_Cat!$B$2:$E$623,2,FALSE),"")</f>
        <v/>
      </c>
      <c r="B863" s="4" t="n"/>
    </row>
    <row r="864">
      <c r="A864" s="6">
        <f>IFERROR(VLOOKUP($B864,Company_Cat!$B$2:$E$623,2,FALSE),"")</f>
        <v/>
      </c>
      <c r="B864" s="4" t="n"/>
    </row>
    <row r="865">
      <c r="A865" s="6">
        <f>IFERROR(VLOOKUP($B865,Company_Cat!$B$2:$E$623,2,FALSE),"")</f>
        <v/>
      </c>
      <c r="B865" s="4" t="n"/>
    </row>
    <row r="866">
      <c r="A866" s="6">
        <f>IFERROR(VLOOKUP($B866,Company_Cat!$B$2:$E$623,2,FALSE),"")</f>
        <v/>
      </c>
      <c r="B866" s="4" t="n"/>
    </row>
    <row r="867">
      <c r="A867" s="6">
        <f>IFERROR(VLOOKUP($B867,Company_Cat!$B$2:$E$623,2,FALSE),"")</f>
        <v/>
      </c>
      <c r="B867" s="4" t="n"/>
    </row>
    <row r="868">
      <c r="A868" s="6">
        <f>IFERROR(VLOOKUP($B868,Company_Cat!$B$2:$E$623,2,FALSE),"")</f>
        <v/>
      </c>
      <c r="B868" s="4" t="n"/>
    </row>
    <row r="869">
      <c r="A869" s="6">
        <f>IFERROR(VLOOKUP($B869,Company_Cat!$B$2:$E$623,2,FALSE),"")</f>
        <v/>
      </c>
      <c r="B869" s="4" t="n"/>
    </row>
    <row r="870">
      <c r="A870" s="6">
        <f>IFERROR(VLOOKUP($B870,Company_Cat!$B$2:$E$623,2,FALSE),"")</f>
        <v/>
      </c>
      <c r="B870" s="4" t="n"/>
    </row>
    <row r="871">
      <c r="A871" s="6">
        <f>IFERROR(VLOOKUP($B871,Company_Cat!$B$2:$E$623,2,FALSE),"")</f>
        <v/>
      </c>
      <c r="B871" s="4" t="n"/>
    </row>
    <row r="872">
      <c r="A872" s="6">
        <f>IFERROR(VLOOKUP($B872,Company_Cat!$B$2:$E$623,2,FALSE),"")</f>
        <v/>
      </c>
      <c r="B872" s="4" t="n"/>
    </row>
    <row r="873">
      <c r="A873" s="6">
        <f>IFERROR(VLOOKUP($B873,Company_Cat!$B$2:$E$623,2,FALSE),"")</f>
        <v/>
      </c>
      <c r="B873" s="4" t="n"/>
    </row>
    <row r="874">
      <c r="A874" s="6">
        <f>IFERROR(VLOOKUP($B874,Company_Cat!$B$2:$E$623,2,FALSE),"")</f>
        <v/>
      </c>
      <c r="B874" s="4" t="n"/>
    </row>
    <row r="875">
      <c r="A875" s="6">
        <f>IFERROR(VLOOKUP($B875,Company_Cat!$B$2:$E$623,2,FALSE),"")</f>
        <v/>
      </c>
      <c r="B875" s="4" t="n"/>
    </row>
    <row r="876">
      <c r="A876" s="6">
        <f>IFERROR(VLOOKUP($B876,Company_Cat!$B$2:$E$623,2,FALSE),"")</f>
        <v/>
      </c>
      <c r="B876" s="4" t="n"/>
    </row>
    <row r="877">
      <c r="A877" s="6">
        <f>IFERROR(VLOOKUP($B877,Company_Cat!$B$2:$E$623,2,FALSE),"")</f>
        <v/>
      </c>
      <c r="B877" s="4" t="n"/>
    </row>
    <row r="878">
      <c r="A878" s="6">
        <f>IFERROR(VLOOKUP($B878,Company_Cat!$B$2:$E$623,2,FALSE),"")</f>
        <v/>
      </c>
      <c r="B878" s="4" t="n"/>
    </row>
    <row r="879">
      <c r="A879" s="6">
        <f>IFERROR(VLOOKUP($B879,Company_Cat!$B$2:$E$623,2,FALSE),"")</f>
        <v/>
      </c>
      <c r="B879" s="4" t="n"/>
    </row>
    <row r="880">
      <c r="A880" s="6">
        <f>IFERROR(VLOOKUP($B880,Company_Cat!$B$2:$E$623,2,FALSE),"")</f>
        <v/>
      </c>
      <c r="B880" s="4" t="n"/>
    </row>
    <row r="881">
      <c r="A881" s="6">
        <f>IFERROR(VLOOKUP($B881,Company_Cat!$B$2:$E$623,2,FALSE),"")</f>
        <v/>
      </c>
      <c r="B881" s="4" t="n"/>
    </row>
    <row r="882">
      <c r="A882" s="6">
        <f>IFERROR(VLOOKUP($B882,Company_Cat!$B$2:$E$623,2,FALSE),"")</f>
        <v/>
      </c>
      <c r="B882" s="4" t="n"/>
    </row>
    <row r="883">
      <c r="A883" s="6">
        <f>IFERROR(VLOOKUP($B883,Company_Cat!$B$2:$E$623,2,FALSE),"")</f>
        <v/>
      </c>
      <c r="B883" s="4" t="n"/>
    </row>
    <row r="884">
      <c r="A884" s="6">
        <f>IFERROR(VLOOKUP($B884,Company_Cat!$B$2:$E$623,2,FALSE),"")</f>
        <v/>
      </c>
      <c r="B884" s="4" t="n"/>
    </row>
    <row r="885">
      <c r="A885" s="6">
        <f>IFERROR(VLOOKUP($B885,Company_Cat!$B$2:$E$623,2,FALSE),"")</f>
        <v/>
      </c>
      <c r="B885" s="4" t="n"/>
    </row>
    <row r="886">
      <c r="A886" s="6">
        <f>IFERROR(VLOOKUP($B886,Company_Cat!$B$2:$E$623,2,FALSE),"")</f>
        <v/>
      </c>
      <c r="B886" s="4" t="n"/>
    </row>
    <row r="887">
      <c r="A887" s="6">
        <f>IFERROR(VLOOKUP($B887,Company_Cat!$B$2:$E$623,2,FALSE),"")</f>
        <v/>
      </c>
      <c r="B887" s="4" t="n"/>
    </row>
    <row r="888">
      <c r="A888" s="6">
        <f>IFERROR(VLOOKUP($B888,Company_Cat!$B$2:$E$623,2,FALSE),"")</f>
        <v/>
      </c>
      <c r="B888" s="4" t="n"/>
    </row>
    <row r="889">
      <c r="A889" s="6">
        <f>IFERROR(VLOOKUP($B889,Company_Cat!$B$2:$E$623,2,FALSE),"")</f>
        <v/>
      </c>
      <c r="B889" s="4" t="n"/>
    </row>
    <row r="890">
      <c r="A890" s="6">
        <f>IFERROR(VLOOKUP($B890,Company_Cat!$B$2:$E$623,2,FALSE),"")</f>
        <v/>
      </c>
      <c r="B890" s="4" t="n"/>
    </row>
    <row r="891">
      <c r="A891" s="6">
        <f>IFERROR(VLOOKUP($B891,Company_Cat!$B$2:$E$623,2,FALSE),"")</f>
        <v/>
      </c>
      <c r="B891" s="4" t="n"/>
    </row>
    <row r="892">
      <c r="A892" s="6">
        <f>IFERROR(VLOOKUP($B892,Company_Cat!$B$2:$E$623,2,FALSE),"")</f>
        <v/>
      </c>
      <c r="B892" s="4" t="n"/>
    </row>
    <row r="893">
      <c r="A893" s="6">
        <f>IFERROR(VLOOKUP($B893,Company_Cat!$B$2:$E$623,2,FALSE),"")</f>
        <v/>
      </c>
      <c r="B893" s="4" t="n"/>
    </row>
    <row r="894">
      <c r="A894" s="6">
        <f>IFERROR(VLOOKUP($B894,Company_Cat!$B$2:$E$623,2,FALSE),"")</f>
        <v/>
      </c>
      <c r="B894" s="4" t="n"/>
    </row>
    <row r="895">
      <c r="A895" s="6">
        <f>IFERROR(VLOOKUP($B895,Company_Cat!$B$2:$E$623,2,FALSE),"")</f>
        <v/>
      </c>
      <c r="B895" s="4" t="n"/>
    </row>
    <row r="896">
      <c r="A896" s="6">
        <f>IFERROR(VLOOKUP($B896,Company_Cat!$B$2:$E$623,2,FALSE),"")</f>
        <v/>
      </c>
      <c r="B896" s="4" t="n"/>
    </row>
    <row r="897">
      <c r="A897" s="6">
        <f>IFERROR(VLOOKUP($B897,Company_Cat!$B$2:$E$623,2,FALSE),"")</f>
        <v/>
      </c>
      <c r="B897" s="4" t="n"/>
    </row>
    <row r="898">
      <c r="A898" s="6">
        <f>IFERROR(VLOOKUP($B898,Company_Cat!$B$2:$E$623,2,FALSE),"")</f>
        <v/>
      </c>
      <c r="B898" s="4" t="n"/>
    </row>
    <row r="899">
      <c r="A899" s="6">
        <f>IFERROR(VLOOKUP($B899,Company_Cat!$B$2:$E$623,2,FALSE),"")</f>
        <v/>
      </c>
      <c r="B899" s="4" t="n"/>
    </row>
    <row r="900">
      <c r="A900" s="6">
        <f>IFERROR(VLOOKUP($B900,Company_Cat!$B$2:$E$623,2,FALSE),"")</f>
        <v/>
      </c>
      <c r="B900" s="4" t="n"/>
    </row>
    <row r="901">
      <c r="A901" s="6">
        <f>IFERROR(VLOOKUP($B901,Company_Cat!$B$2:$E$623,2,FALSE),"")</f>
        <v/>
      </c>
      <c r="B901" s="4" t="n"/>
    </row>
    <row r="902">
      <c r="A902" s="6">
        <f>IFERROR(VLOOKUP($B902,Company_Cat!$B$2:$E$623,2,FALSE),"")</f>
        <v/>
      </c>
      <c r="B902" s="4" t="n"/>
    </row>
    <row r="903">
      <c r="A903" s="6">
        <f>IFERROR(VLOOKUP($B903,Company_Cat!$B$2:$E$623,2,FALSE),"")</f>
        <v/>
      </c>
      <c r="B903" s="4" t="n"/>
    </row>
    <row r="904">
      <c r="A904" s="6">
        <f>IFERROR(VLOOKUP($B904,Company_Cat!$B$2:$E$623,2,FALSE),"")</f>
        <v/>
      </c>
      <c r="B904" s="4" t="n"/>
    </row>
    <row r="905">
      <c r="A905" s="6">
        <f>IFERROR(VLOOKUP($B905,Company_Cat!$B$2:$E$623,2,FALSE),"")</f>
        <v/>
      </c>
      <c r="B905" s="4" t="n"/>
    </row>
    <row r="906">
      <c r="A906" s="6">
        <f>IFERROR(VLOOKUP($B906,Company_Cat!$B$2:$E$623,2,FALSE),"")</f>
        <v/>
      </c>
      <c r="B906" s="4" t="n"/>
    </row>
    <row r="907">
      <c r="A907" s="6">
        <f>IFERROR(VLOOKUP($B907,Company_Cat!$B$2:$E$623,2,FALSE),"")</f>
        <v/>
      </c>
      <c r="B907" s="4" t="n"/>
    </row>
    <row r="908">
      <c r="A908" s="6">
        <f>IFERROR(VLOOKUP($B908,Company_Cat!$B$2:$E$623,2,FALSE),"")</f>
        <v/>
      </c>
      <c r="B908" s="4" t="n"/>
    </row>
    <row r="909">
      <c r="A909" s="6">
        <f>IFERROR(VLOOKUP($B909,Company_Cat!$B$2:$E$623,2,FALSE),"")</f>
        <v/>
      </c>
      <c r="B909" s="4" t="n"/>
    </row>
    <row r="910">
      <c r="A910" s="6">
        <f>IFERROR(VLOOKUP($B910,Company_Cat!$B$2:$E$623,2,FALSE),"")</f>
        <v/>
      </c>
      <c r="B910" s="4" t="n"/>
    </row>
    <row r="911">
      <c r="A911" s="6">
        <f>IFERROR(VLOOKUP($B911,Company_Cat!$B$2:$E$623,2,FALSE),"")</f>
        <v/>
      </c>
      <c r="B911" s="4" t="n"/>
    </row>
    <row r="912">
      <c r="A912" s="6">
        <f>IFERROR(VLOOKUP($B912,Company_Cat!$B$2:$E$623,2,FALSE),"")</f>
        <v/>
      </c>
      <c r="B912" s="4" t="n"/>
    </row>
    <row r="913">
      <c r="A913" s="6">
        <f>IFERROR(VLOOKUP($B913,Company_Cat!$B$2:$E$623,2,FALSE),"")</f>
        <v/>
      </c>
      <c r="B913" s="4" t="n"/>
    </row>
    <row r="914">
      <c r="A914" s="6">
        <f>IFERROR(VLOOKUP($B914,Company_Cat!$B$2:$E$623,2,FALSE),"")</f>
        <v/>
      </c>
      <c r="B914" s="4" t="n"/>
    </row>
    <row r="915">
      <c r="A915" s="6">
        <f>IFERROR(VLOOKUP($B915,Company_Cat!$B$2:$E$623,2,FALSE),"")</f>
        <v/>
      </c>
      <c r="B915" s="4" t="n"/>
    </row>
    <row r="916">
      <c r="A916" s="6">
        <f>IFERROR(VLOOKUP($B916,Company_Cat!$B$2:$E$623,2,FALSE),"")</f>
        <v/>
      </c>
      <c r="B916" s="4" t="n"/>
    </row>
    <row r="917">
      <c r="A917" s="6">
        <f>IFERROR(VLOOKUP($B917,Company_Cat!$B$2:$E$623,2,FALSE),"")</f>
        <v/>
      </c>
      <c r="B917" s="4" t="n"/>
    </row>
    <row r="918">
      <c r="A918" s="6">
        <f>IFERROR(VLOOKUP($B918,Company_Cat!$B$2:$E$623,2,FALSE),"")</f>
        <v/>
      </c>
      <c r="B918" s="4" t="n"/>
    </row>
    <row r="919">
      <c r="A919" s="6">
        <f>IFERROR(VLOOKUP($B919,Company_Cat!$B$2:$E$623,2,FALSE),"")</f>
        <v/>
      </c>
      <c r="B919" s="4" t="n"/>
    </row>
    <row r="920">
      <c r="A920" s="6">
        <f>IFERROR(VLOOKUP($B920,Company_Cat!$B$2:$E$623,2,FALSE),"")</f>
        <v/>
      </c>
      <c r="B920" s="4" t="n"/>
    </row>
    <row r="921">
      <c r="A921" s="6">
        <f>IFERROR(VLOOKUP($B921,Company_Cat!$B$2:$E$623,2,FALSE),"")</f>
        <v/>
      </c>
      <c r="B921" s="4" t="n"/>
    </row>
    <row r="922">
      <c r="A922" s="6">
        <f>IFERROR(VLOOKUP($B922,Company_Cat!$B$2:$E$623,2,FALSE),"")</f>
        <v/>
      </c>
      <c r="B922" s="4" t="n"/>
    </row>
    <row r="923">
      <c r="A923" s="6">
        <f>IFERROR(VLOOKUP($B923,Company_Cat!$B$2:$E$623,2,FALSE),"")</f>
        <v/>
      </c>
      <c r="B923" s="4" t="n"/>
    </row>
    <row r="924">
      <c r="A924" s="6">
        <f>IFERROR(VLOOKUP($B924,Company_Cat!$B$2:$E$623,2,FALSE),"")</f>
        <v/>
      </c>
      <c r="B924" s="4" t="n"/>
    </row>
    <row r="925">
      <c r="A925" s="6">
        <f>IFERROR(VLOOKUP($B925,Company_Cat!$B$2:$E$623,2,FALSE),"")</f>
        <v/>
      </c>
      <c r="B925" s="4" t="n"/>
    </row>
    <row r="926">
      <c r="A926" s="6">
        <f>IFERROR(VLOOKUP($B926,Company_Cat!$B$2:$E$623,2,FALSE),"")</f>
        <v/>
      </c>
      <c r="B926" s="4" t="n"/>
    </row>
    <row r="927">
      <c r="A927" s="6">
        <f>IFERROR(VLOOKUP($B927,Company_Cat!$B$2:$E$623,2,FALSE),"")</f>
        <v/>
      </c>
      <c r="B927" s="4" t="n"/>
    </row>
    <row r="928">
      <c r="A928" s="6">
        <f>IFERROR(VLOOKUP($B928,Company_Cat!$B$2:$E$623,2,FALSE),"")</f>
        <v/>
      </c>
      <c r="B928" s="4" t="n"/>
    </row>
    <row r="929">
      <c r="A929" s="6">
        <f>IFERROR(VLOOKUP($B929,Company_Cat!$B$2:$E$623,2,FALSE),"")</f>
        <v/>
      </c>
      <c r="B929" s="4" t="n"/>
    </row>
    <row r="930">
      <c r="A930" s="6">
        <f>IFERROR(VLOOKUP($B930,Company_Cat!$B$2:$E$623,2,FALSE),"")</f>
        <v/>
      </c>
      <c r="B930" s="4" t="n"/>
    </row>
    <row r="931">
      <c r="A931" s="6">
        <f>IFERROR(VLOOKUP($B931,Company_Cat!$B$2:$E$623,2,FALSE),"")</f>
        <v/>
      </c>
      <c r="B931" s="4" t="n"/>
    </row>
    <row r="932">
      <c r="A932" s="6">
        <f>IFERROR(VLOOKUP($B932,Company_Cat!$B$2:$E$623,2,FALSE),"")</f>
        <v/>
      </c>
      <c r="B932" s="4" t="n"/>
    </row>
    <row r="933">
      <c r="A933" s="6">
        <f>IFERROR(VLOOKUP($B933,Company_Cat!$B$2:$E$623,2,FALSE),"")</f>
        <v/>
      </c>
      <c r="B933" s="4" t="n"/>
    </row>
    <row r="934">
      <c r="A934" s="6">
        <f>IFERROR(VLOOKUP($B934,Company_Cat!$B$2:$E$623,2,FALSE),"")</f>
        <v/>
      </c>
      <c r="B934" s="4" t="n"/>
    </row>
    <row r="935">
      <c r="A935" s="6">
        <f>IFERROR(VLOOKUP($B935,Company_Cat!$B$2:$E$623,2,FALSE),"")</f>
        <v/>
      </c>
      <c r="B935" s="4" t="n"/>
    </row>
    <row r="936">
      <c r="A936" s="6">
        <f>IFERROR(VLOOKUP($B936,Company_Cat!$B$2:$E$623,2,FALSE),"")</f>
        <v/>
      </c>
      <c r="B936" s="4" t="n"/>
    </row>
    <row r="937">
      <c r="A937" s="6">
        <f>IFERROR(VLOOKUP($B937,Company_Cat!$B$2:$E$623,2,FALSE),"")</f>
        <v/>
      </c>
      <c r="B937" s="4" t="n"/>
    </row>
    <row r="938">
      <c r="A938" s="6">
        <f>IFERROR(VLOOKUP($B938,Company_Cat!$B$2:$E$623,2,FALSE),"")</f>
        <v/>
      </c>
      <c r="B938" s="4" t="n"/>
    </row>
    <row r="939">
      <c r="A939" s="6">
        <f>IFERROR(VLOOKUP($B939,Company_Cat!$B$2:$E$623,2,FALSE),"")</f>
        <v/>
      </c>
      <c r="B939" s="4" t="n"/>
    </row>
    <row r="940">
      <c r="A940" s="6">
        <f>IFERROR(VLOOKUP($B940,Company_Cat!$B$2:$E$623,2,FALSE),"")</f>
        <v/>
      </c>
      <c r="B940" s="4" t="n"/>
    </row>
    <row r="941">
      <c r="A941" s="6">
        <f>IFERROR(VLOOKUP($B941,Company_Cat!$B$2:$E$623,2,FALSE),"")</f>
        <v/>
      </c>
      <c r="B941" s="4" t="n"/>
    </row>
    <row r="942">
      <c r="A942" s="6">
        <f>IFERROR(VLOOKUP($B942,Company_Cat!$B$2:$E$623,2,FALSE),"")</f>
        <v/>
      </c>
      <c r="B942" s="4" t="n"/>
    </row>
    <row r="943">
      <c r="A943" s="6">
        <f>IFERROR(VLOOKUP($B943,Company_Cat!$B$2:$E$623,2,FALSE),"")</f>
        <v/>
      </c>
      <c r="B943" s="4" t="n"/>
    </row>
    <row r="944">
      <c r="A944" s="6">
        <f>IFERROR(VLOOKUP($B944,Company_Cat!$B$2:$E$623,2,FALSE),"")</f>
        <v/>
      </c>
      <c r="B944" s="4" t="n"/>
    </row>
    <row r="945">
      <c r="A945" s="6">
        <f>IFERROR(VLOOKUP($B945,Company_Cat!$B$2:$E$623,2,FALSE),"")</f>
        <v/>
      </c>
      <c r="B945" s="4" t="n"/>
    </row>
    <row r="946">
      <c r="A946" s="6">
        <f>IFERROR(VLOOKUP($B946,Company_Cat!$B$2:$E$623,2,FALSE),"")</f>
        <v/>
      </c>
      <c r="B946" s="4" t="n"/>
    </row>
    <row r="947">
      <c r="A947" s="6">
        <f>IFERROR(VLOOKUP($B947,Company_Cat!$B$2:$E$623,2,FALSE),"")</f>
        <v/>
      </c>
      <c r="B947" s="4" t="n"/>
    </row>
    <row r="948">
      <c r="A948" s="6">
        <f>IFERROR(VLOOKUP($B948,Company_Cat!$B$2:$E$623,2,FALSE),"")</f>
        <v/>
      </c>
      <c r="B948" s="4" t="n"/>
    </row>
    <row r="949">
      <c r="A949" s="6">
        <f>IFERROR(VLOOKUP($B949,Company_Cat!$B$2:$E$623,2,FALSE),"")</f>
        <v/>
      </c>
      <c r="B949" s="4" t="n"/>
    </row>
    <row r="950">
      <c r="A950" s="6">
        <f>IFERROR(VLOOKUP($B950,Company_Cat!$B$2:$E$623,2,FALSE),"")</f>
        <v/>
      </c>
      <c r="B950" s="4" t="n"/>
    </row>
    <row r="951">
      <c r="A951" s="6">
        <f>IFERROR(VLOOKUP($B951,Company_Cat!$B$2:$E$623,2,FALSE),"")</f>
        <v/>
      </c>
      <c r="B951" s="4" t="n"/>
    </row>
    <row r="952">
      <c r="A952" s="6">
        <f>IFERROR(VLOOKUP($B952,Company_Cat!$B$2:$E$623,2,FALSE),"")</f>
        <v/>
      </c>
      <c r="B952" s="4" t="n"/>
    </row>
    <row r="953">
      <c r="A953" s="6">
        <f>IFERROR(VLOOKUP($B953,Company_Cat!$B$2:$E$623,2,FALSE),"")</f>
        <v/>
      </c>
      <c r="B953" s="4" t="n"/>
    </row>
    <row r="954">
      <c r="A954" s="6">
        <f>IFERROR(VLOOKUP($B954,Company_Cat!$B$2:$E$623,2,FALSE),"")</f>
        <v/>
      </c>
      <c r="B954" s="4" t="n"/>
    </row>
    <row r="955">
      <c r="A955" s="6">
        <f>IFERROR(VLOOKUP($B955,Company_Cat!$B$2:$E$623,2,FALSE),"")</f>
        <v/>
      </c>
      <c r="B955" s="4" t="n"/>
    </row>
    <row r="956">
      <c r="A956" s="6">
        <f>IFERROR(VLOOKUP($B956,Company_Cat!$B$2:$E$623,2,FALSE),"")</f>
        <v/>
      </c>
      <c r="B956" s="4" t="n"/>
    </row>
    <row r="957">
      <c r="A957" s="6">
        <f>IFERROR(VLOOKUP($B957,Company_Cat!$B$2:$E$623,2,FALSE),"")</f>
        <v/>
      </c>
      <c r="B957" s="4" t="n"/>
    </row>
    <row r="958">
      <c r="A958" s="6">
        <f>IFERROR(VLOOKUP($B958,Company_Cat!$B$2:$E$623,2,FALSE),"")</f>
        <v/>
      </c>
      <c r="B958" s="4" t="n"/>
    </row>
    <row r="959">
      <c r="A959" s="6">
        <f>IFERROR(VLOOKUP($B959,Company_Cat!$B$2:$E$623,2,FALSE),"")</f>
        <v/>
      </c>
      <c r="B959" s="4" t="n"/>
    </row>
    <row r="960">
      <c r="A960" s="6">
        <f>IFERROR(VLOOKUP($B960,Company_Cat!$B$2:$E$623,2,FALSE),"")</f>
        <v/>
      </c>
      <c r="B960" s="4" t="n"/>
    </row>
    <row r="961">
      <c r="A961" s="6">
        <f>IFERROR(VLOOKUP($B961,Company_Cat!$B$2:$E$623,2,FALSE),"")</f>
        <v/>
      </c>
      <c r="B961" s="4" t="n"/>
    </row>
    <row r="962">
      <c r="A962" s="6">
        <f>IFERROR(VLOOKUP($B962,Company_Cat!$B$2:$E$623,2,FALSE),"")</f>
        <v/>
      </c>
      <c r="B962" s="4" t="n"/>
    </row>
    <row r="963">
      <c r="A963" s="6">
        <f>IFERROR(VLOOKUP($B963,Company_Cat!$B$2:$E$623,2,FALSE),"")</f>
        <v/>
      </c>
      <c r="B963" s="4" t="n"/>
    </row>
    <row r="964">
      <c r="A964" s="6">
        <f>IFERROR(VLOOKUP($B964,Company_Cat!$B$2:$E$623,2,FALSE),"")</f>
        <v/>
      </c>
      <c r="B964" s="4" t="n"/>
    </row>
    <row r="965">
      <c r="A965" s="6">
        <f>IFERROR(VLOOKUP($B965,Company_Cat!$B$2:$E$623,2,FALSE),"")</f>
        <v/>
      </c>
      <c r="B965" s="4" t="n"/>
    </row>
    <row r="966">
      <c r="A966" s="6">
        <f>IFERROR(VLOOKUP($B966,Company_Cat!$B$2:$E$623,2,FALSE),"")</f>
        <v/>
      </c>
      <c r="B966" s="4" t="n"/>
    </row>
    <row r="967">
      <c r="A967" s="6">
        <f>IFERROR(VLOOKUP($B967,Company_Cat!$B$2:$E$623,2,FALSE),"")</f>
        <v/>
      </c>
      <c r="B967" s="4" t="n"/>
    </row>
    <row r="968">
      <c r="A968" s="6">
        <f>IFERROR(VLOOKUP($B968,Company_Cat!$B$2:$E$623,2,FALSE),"")</f>
        <v/>
      </c>
      <c r="B968" s="4" t="n"/>
    </row>
    <row r="969">
      <c r="A969" s="6">
        <f>IFERROR(VLOOKUP($B969,Company_Cat!$B$2:$E$623,2,FALSE),"")</f>
        <v/>
      </c>
      <c r="B969" s="4" t="n"/>
    </row>
    <row r="970">
      <c r="A970" s="6">
        <f>IFERROR(VLOOKUP($B970,Company_Cat!$B$2:$E$623,2,FALSE),"")</f>
        <v/>
      </c>
      <c r="B970" s="4" t="n"/>
    </row>
    <row r="971">
      <c r="A971" s="6">
        <f>IFERROR(VLOOKUP($B971,Company_Cat!$B$2:$E$623,2,FALSE),"")</f>
        <v/>
      </c>
      <c r="B971" s="4" t="n"/>
    </row>
    <row r="972">
      <c r="A972" s="6">
        <f>IFERROR(VLOOKUP($B972,Company_Cat!$B$2:$E$623,2,FALSE),"")</f>
        <v/>
      </c>
      <c r="B972" s="4" t="n"/>
    </row>
    <row r="973">
      <c r="A973" s="6">
        <f>IFERROR(VLOOKUP($B973,Company_Cat!$B$2:$E$623,2,FALSE),"")</f>
        <v/>
      </c>
      <c r="B973" s="4" t="n"/>
    </row>
    <row r="974">
      <c r="A974" s="6">
        <f>IFERROR(VLOOKUP($B974,Company_Cat!$B$2:$E$623,2,FALSE),"")</f>
        <v/>
      </c>
      <c r="B974" s="4" t="n"/>
    </row>
    <row r="975">
      <c r="A975" s="6">
        <f>IFERROR(VLOOKUP($B975,Company_Cat!$B$2:$E$623,2,FALSE),"")</f>
        <v/>
      </c>
      <c r="B975" s="4" t="n"/>
    </row>
    <row r="976">
      <c r="A976" s="6">
        <f>IFERROR(VLOOKUP($B976,Company_Cat!$B$2:$E$623,2,FALSE),"")</f>
        <v/>
      </c>
      <c r="B976" s="4" t="n"/>
    </row>
    <row r="977">
      <c r="A977" s="6">
        <f>IFERROR(VLOOKUP($B977,Company_Cat!$B$2:$E$623,2,FALSE),"")</f>
        <v/>
      </c>
      <c r="B977" s="4" t="n"/>
    </row>
    <row r="978">
      <c r="A978" s="6">
        <f>IFERROR(VLOOKUP($B978,Company_Cat!$B$2:$E$623,2,FALSE),"")</f>
        <v/>
      </c>
      <c r="B978" s="4" t="n"/>
    </row>
    <row r="979">
      <c r="A979" s="6">
        <f>IFERROR(VLOOKUP($B979,Company_Cat!$B$2:$E$623,2,FALSE),"")</f>
        <v/>
      </c>
      <c r="B979" s="4" t="n"/>
    </row>
    <row r="980">
      <c r="A980" s="6">
        <f>IFERROR(VLOOKUP($B980,Company_Cat!$B$2:$E$623,2,FALSE),"")</f>
        <v/>
      </c>
      <c r="B980" s="4" t="n"/>
    </row>
    <row r="981">
      <c r="A981" s="6">
        <f>IFERROR(VLOOKUP($B981,Company_Cat!$B$2:$E$623,2,FALSE),"")</f>
        <v/>
      </c>
      <c r="B981" s="4" t="n"/>
    </row>
    <row r="982">
      <c r="A982" s="6">
        <f>IFERROR(VLOOKUP($B982,Company_Cat!$B$2:$E$623,2,FALSE),"")</f>
        <v/>
      </c>
      <c r="B982" s="4" t="n"/>
    </row>
    <row r="983">
      <c r="A983" s="6">
        <f>IFERROR(VLOOKUP($B983,Company_Cat!$B$2:$E$623,2,FALSE),"")</f>
        <v/>
      </c>
      <c r="B983" s="4" t="n"/>
    </row>
    <row r="984">
      <c r="A984" s="6">
        <f>IFERROR(VLOOKUP($B984,Company_Cat!$B$2:$E$623,2,FALSE),"")</f>
        <v/>
      </c>
      <c r="B984" s="4" t="n"/>
    </row>
    <row r="985">
      <c r="A985" s="6">
        <f>IFERROR(VLOOKUP($B985,Company_Cat!$B$2:$E$623,2,FALSE),"")</f>
        <v/>
      </c>
      <c r="B985" s="4" t="n"/>
    </row>
    <row r="986">
      <c r="A986" s="6">
        <f>IFERROR(VLOOKUP($B986,Company_Cat!$B$2:$E$623,2,FALSE),"")</f>
        <v/>
      </c>
      <c r="B986" s="4" t="n"/>
    </row>
    <row r="987">
      <c r="A987" s="6">
        <f>IFERROR(VLOOKUP($B987,Company_Cat!$B$2:$E$623,2,FALSE),"")</f>
        <v/>
      </c>
      <c r="B987" s="4" t="n"/>
    </row>
    <row r="988">
      <c r="A988" s="6">
        <f>IFERROR(VLOOKUP($B988,Company_Cat!$B$2:$E$623,2,FALSE),"")</f>
        <v/>
      </c>
      <c r="B988" s="4" t="n"/>
    </row>
    <row r="989">
      <c r="A989" s="6">
        <f>IFERROR(VLOOKUP($B989,Company_Cat!$B$2:$E$623,2,FALSE),"")</f>
        <v/>
      </c>
      <c r="B989" s="4" t="n"/>
    </row>
    <row r="990">
      <c r="A990" s="6">
        <f>IFERROR(VLOOKUP($B990,Company_Cat!$B$2:$E$623,2,FALSE),"")</f>
        <v/>
      </c>
      <c r="B990" s="4" t="n"/>
    </row>
    <row r="991">
      <c r="A991" s="6">
        <f>IFERROR(VLOOKUP($B991,Company_Cat!$B$2:$E$623,2,FALSE),"")</f>
        <v/>
      </c>
      <c r="B991" s="4" t="n"/>
    </row>
    <row r="992">
      <c r="A992" s="6">
        <f>IFERROR(VLOOKUP($B992,Company_Cat!$B$2:$E$623,2,FALSE),"")</f>
        <v/>
      </c>
      <c r="B992" s="4" t="n"/>
    </row>
    <row r="993">
      <c r="A993" s="6">
        <f>IFERROR(VLOOKUP($B993,Company_Cat!$B$2:$E$623,2,FALSE),"")</f>
        <v/>
      </c>
      <c r="B993" s="4" t="n"/>
    </row>
    <row r="994">
      <c r="A994" s="6">
        <f>IFERROR(VLOOKUP($B994,Company_Cat!$B$2:$E$623,2,FALSE),"")</f>
        <v/>
      </c>
      <c r="B994" s="4" t="n"/>
    </row>
    <row r="995">
      <c r="A995" s="6">
        <f>IFERROR(VLOOKUP($B995,Company_Cat!$B$2:$E$623,2,FALSE),"")</f>
        <v/>
      </c>
      <c r="B995" s="4" t="n"/>
    </row>
    <row r="996">
      <c r="A996" s="6">
        <f>IFERROR(VLOOKUP($B996,Company_Cat!$B$2:$E$623,2,FALSE),"")</f>
        <v/>
      </c>
      <c r="B996" s="4" t="n"/>
    </row>
    <row r="997">
      <c r="A997" s="6">
        <f>IFERROR(VLOOKUP($B997,Company_Cat!$B$2:$E$623,2,FALSE),"")</f>
        <v/>
      </c>
      <c r="B997" s="4" t="n"/>
    </row>
    <row r="998">
      <c r="A998" s="6">
        <f>IFERROR(VLOOKUP($B998,Company_Cat!$B$2:$E$623,2,FALSE),"")</f>
        <v/>
      </c>
      <c r="B998" s="4" t="n"/>
    </row>
    <row r="999">
      <c r="A999" s="6">
        <f>IFERROR(VLOOKUP($B999,Company_Cat!$B$2:$E$623,2,FALSE),"")</f>
        <v/>
      </c>
      <c r="B999" s="4" t="n"/>
    </row>
    <row r="1000">
      <c r="A1000" s="6">
        <f>IFERROR(VLOOKUP($B1000,Company_Cat!$B$2:$E$623,2,FALSE),"")</f>
        <v/>
      </c>
      <c r="B1000" s="4"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I311"/>
  <sheetViews>
    <sheetView workbookViewId="0">
      <selection activeCell="A1" sqref="A1:F1"/>
    </sheetView>
    <sheetView workbookViewId="1">
      <selection activeCell="A1" sqref="A1:F1"/>
    </sheetView>
  </sheetViews>
  <sheetFormatPr baseColWidth="8" defaultColWidth="8.19921875" defaultRowHeight="13.2"/>
  <cols>
    <col width="6.19921875" customWidth="1" style="22" min="1" max="1"/>
    <col width="17.69921875" customWidth="1" style="22" min="2" max="2"/>
    <col width="43.796875" customWidth="1" style="22" min="3" max="3"/>
    <col width="38.796875" customWidth="1" style="22" min="4" max="4"/>
    <col width="18.69921875" customWidth="1" style="22" min="5" max="5"/>
    <col width="28.19921875" customWidth="1" style="22" min="6" max="6"/>
    <col width="4.69921875" customWidth="1" style="22" min="7" max="7"/>
    <col width="7.69921875" bestFit="1" customWidth="1" style="22" min="8" max="8"/>
    <col width="8.19921875" customWidth="1" style="22" min="9" max="16384"/>
  </cols>
  <sheetData>
    <row r="1" ht="24" customHeight="1">
      <c r="A1" s="185" t="inlineStr">
        <is>
          <t>Midrand Office AMOs (Head Office)</t>
        </is>
      </c>
      <c r="B1" s="198" t="n"/>
      <c r="C1" s="198" t="n"/>
      <c r="D1" s="198" t="n"/>
      <c r="E1" s="198" t="n"/>
      <c r="F1" s="198" t="n"/>
    </row>
    <row r="2" ht="28.95" customHeight="1">
      <c r="A2" s="23" t="inlineStr">
        <is>
          <t>#</t>
        </is>
      </c>
      <c r="B2" s="23" t="inlineStr">
        <is>
          <t>AMO Number</t>
        </is>
      </c>
      <c r="C2" s="23" t="inlineStr">
        <is>
          <t>NAME</t>
        </is>
      </c>
      <c r="D2" s="23" t="inlineStr">
        <is>
          <t>CATEGORIES</t>
        </is>
      </c>
      <c r="E2" s="23" t="inlineStr">
        <is>
          <t>MAIN/ SATELLITE</t>
        </is>
      </c>
      <c r="F2" s="23" t="inlineStr">
        <is>
          <t>LOCATION</t>
        </is>
      </c>
      <c r="H2" s="24" t="inlineStr">
        <is>
          <t>Category</t>
        </is>
      </c>
      <c r="I2" s="24" t="inlineStr">
        <is>
          <t>Scope of Work</t>
        </is>
      </c>
    </row>
    <row r="3" ht="14.4" customHeight="1">
      <c r="A3" s="25" t="n">
        <v>1</v>
      </c>
      <c r="B3" s="26" t="n">
        <v>1</v>
      </c>
      <c r="C3" s="27" t="inlineStr">
        <is>
          <t>South African Airways Technical SOC</t>
        </is>
      </c>
      <c r="D3" s="28" t="inlineStr">
        <is>
          <t>A, B, C, D, W, X, NDT &amp; Special Processes</t>
        </is>
      </c>
      <c r="E3" s="27" t="inlineStr">
        <is>
          <t>Main Base</t>
        </is>
      </c>
      <c r="F3" s="29" t="inlineStr">
        <is>
          <t>O.R. Tambo - SAAT Area</t>
        </is>
      </c>
      <c r="H3" s="24" t="inlineStr">
        <is>
          <t>A</t>
        </is>
      </c>
      <c r="I3" s="22" t="inlineStr">
        <is>
          <t xml:space="preserve">Line maintenance on aircraft airframes (release to service, minor assembly, certifying install and test/ferry flights)  </t>
        </is>
      </c>
    </row>
    <row r="4" ht="16.5" customHeight="1">
      <c r="A4" s="30" t="n">
        <v>2</v>
      </c>
      <c r="B4" s="31" t="n">
        <v>2</v>
      </c>
      <c r="C4" s="32" t="inlineStr">
        <is>
          <t>Capital Air (Pty) Ltd</t>
        </is>
      </c>
      <c r="D4" s="33" t="inlineStr">
        <is>
          <t>B, D, E &amp; W</t>
        </is>
      </c>
      <c r="E4" s="34" t="inlineStr">
        <is>
          <t>Main Base</t>
        </is>
      </c>
      <c r="F4" s="35" t="inlineStr">
        <is>
          <t>Rand Airport</t>
        </is>
      </c>
      <c r="H4" s="24" t="inlineStr">
        <is>
          <t>B</t>
        </is>
      </c>
      <c r="I4" s="22" t="inlineStr">
        <is>
          <t xml:space="preserve">Component-level maintenance for airframes and accessories (rotorcraft excluded from engine)  </t>
        </is>
      </c>
    </row>
    <row r="5" ht="16.5" customHeight="1">
      <c r="A5" s="25" t="n">
        <v>3</v>
      </c>
      <c r="B5" s="26" t="n">
        <v>3</v>
      </c>
      <c r="C5" s="36" t="inlineStr">
        <is>
          <t>Century Avionics CC</t>
        </is>
      </c>
      <c r="D5" s="37" t="inlineStr">
        <is>
          <t>X &amp; W</t>
        </is>
      </c>
      <c r="E5" s="27" t="inlineStr">
        <is>
          <t>Main Base</t>
        </is>
      </c>
      <c r="F5" s="37" t="inlineStr">
        <is>
          <t>Lanseria</t>
        </is>
      </c>
      <c r="H5" s="24" t="inlineStr">
        <is>
          <t>C</t>
        </is>
      </c>
      <c r="I5" s="22" t="inlineStr">
        <is>
          <t xml:space="preserve">On‑wing maintenance for engines (non‑rotorcraft), including test flight release  </t>
        </is>
      </c>
    </row>
    <row r="6" ht="16.5" customHeight="1">
      <c r="A6" s="25" t="n">
        <v>4</v>
      </c>
      <c r="B6" s="26" t="n">
        <v>4</v>
      </c>
      <c r="C6" s="37" t="inlineStr">
        <is>
          <t>NAC Lanseria</t>
        </is>
      </c>
      <c r="D6" s="37" t="inlineStr">
        <is>
          <t>A,B ,C, W &amp; X</t>
        </is>
      </c>
      <c r="E6" s="27" t="inlineStr">
        <is>
          <t>Main Base</t>
        </is>
      </c>
      <c r="F6" s="37" t="inlineStr">
        <is>
          <t>Lanseria</t>
        </is>
      </c>
      <c r="H6" s="24" t="inlineStr">
        <is>
          <t>D</t>
        </is>
      </c>
      <c r="I6" s="22" t="inlineStr">
        <is>
          <t xml:space="preserve">Rack-level engine work (overhaul, repair, modifications), plus manufacture of parts under CAR 21  </t>
        </is>
      </c>
    </row>
    <row r="7" ht="16.5" customHeight="1">
      <c r="A7" s="25" t="n">
        <v>5</v>
      </c>
      <c r="B7" s="26" t="n">
        <v>8</v>
      </c>
      <c r="C7" s="38" t="inlineStr">
        <is>
          <t>Roesch Aviation</t>
        </is>
      </c>
      <c r="D7" s="37" t="inlineStr">
        <is>
          <t>B</t>
        </is>
      </c>
      <c r="E7" s="27" t="inlineStr">
        <is>
          <t>Main Base</t>
        </is>
      </c>
      <c r="F7" s="37" t="inlineStr">
        <is>
          <t>Lanseria</t>
        </is>
      </c>
      <c r="H7" s="24" t="inlineStr">
        <is>
          <t>E</t>
        </is>
      </c>
      <c r="I7" s="22" t="inlineStr">
        <is>
          <t xml:space="preserve">Rotorcraft and rotorcraft‑engine maintenance (airframe/engine installs, overhaul, rotors, test‑flight release)  </t>
        </is>
      </c>
    </row>
    <row r="8" ht="16.5" customHeight="1">
      <c r="A8" s="25" t="n">
        <v>6</v>
      </c>
      <c r="B8" s="26" t="n">
        <v>12</v>
      </c>
      <c r="C8" s="39" t="inlineStr">
        <is>
          <t>Aircraft Powerplant Company (Pty) Ltd</t>
        </is>
      </c>
      <c r="D8" s="27" t="inlineStr">
        <is>
          <t>C, D, X &amp; SPECIAL PROCESSES</t>
        </is>
      </c>
      <c r="E8" s="27" t="inlineStr">
        <is>
          <t>Main Base</t>
        </is>
      </c>
      <c r="F8" s="40" t="inlineStr">
        <is>
          <t>Wonderboom</t>
        </is>
      </c>
      <c r="H8" s="24" t="inlineStr">
        <is>
          <t>W</t>
        </is>
      </c>
      <c r="I8" s="22" t="inlineStr">
        <is>
          <t xml:space="preserve">Installation and maintenance of aircraft electrical, instrument, and radio systems across all aircraft classes  </t>
        </is>
      </c>
    </row>
    <row r="9" ht="16.5" customHeight="1">
      <c r="A9" s="25" t="n">
        <v>7</v>
      </c>
      <c r="B9" s="26" t="n">
        <v>22</v>
      </c>
      <c r="C9" s="36" t="inlineStr">
        <is>
          <t>Aero Natal (Pty) Ltd</t>
        </is>
      </c>
      <c r="D9" s="37" t="inlineStr">
        <is>
          <t>A, B, C, D,</t>
        </is>
      </c>
      <c r="E9" s="27" t="inlineStr">
        <is>
          <t>Main Base</t>
        </is>
      </c>
      <c r="F9" s="41" t="inlineStr">
        <is>
          <t>Durban-Virginia Airport</t>
        </is>
      </c>
      <c r="H9" s="24" t="inlineStr">
        <is>
          <t>X</t>
        </is>
      </c>
      <c r="I9" s="22" t="inlineStr">
        <is>
          <t xml:space="preserve">Overhaul, repair, testing, modification, and limited manufacture of equipment, instruments, components, accessories, auxiliaries, parts (e.g. propellers class X4, welding class X5)  </t>
        </is>
      </c>
    </row>
    <row r="10" ht="16.5" customHeight="1">
      <c r="A10" s="30" t="n">
        <v>8</v>
      </c>
      <c r="B10" s="31" t="n">
        <v>27</v>
      </c>
      <c r="C10" s="42" t="inlineStr">
        <is>
          <t>NAC Helicopter Division</t>
        </is>
      </c>
      <c r="D10" s="34" t="inlineStr">
        <is>
          <t>B, D, E, W , X  WELDING &amp; NDT</t>
        </is>
      </c>
      <c r="E10" s="34" t="inlineStr">
        <is>
          <t>Main Base</t>
        </is>
      </c>
      <c r="F10" s="35" t="inlineStr">
        <is>
          <t>Rand Airport</t>
        </is>
      </c>
    </row>
    <row r="11" ht="16.5" customHeight="1">
      <c r="A11" s="25" t="n">
        <v>9</v>
      </c>
      <c r="B11" s="26" t="n">
        <v>28</v>
      </c>
      <c r="C11" s="40" t="inlineStr">
        <is>
          <t>Vector Aerospace Africa (Pty) Ltd</t>
        </is>
      </c>
      <c r="D11" s="27" t="inlineStr">
        <is>
          <t>C, D &amp; SPECIAL PROCESSES NDT</t>
        </is>
      </c>
      <c r="E11" s="27" t="inlineStr">
        <is>
          <t>Main Base</t>
        </is>
      </c>
      <c r="F11" s="37" t="inlineStr">
        <is>
          <t>Lanseria</t>
        </is>
      </c>
    </row>
    <row r="12" ht="16.5" customHeight="1">
      <c r="A12" s="25" t="n">
        <v>10</v>
      </c>
      <c r="B12" s="26" t="n">
        <v>33</v>
      </c>
      <c r="C12" s="43" t="inlineStr">
        <is>
          <t>North East Avionics CC</t>
        </is>
      </c>
      <c r="D12" s="37" t="inlineStr">
        <is>
          <t>X &amp; W</t>
        </is>
      </c>
      <c r="E12" s="27" t="inlineStr">
        <is>
          <t>Main Base</t>
        </is>
      </c>
      <c r="F12" s="37" t="inlineStr">
        <is>
          <t>Nelspruit</t>
        </is>
      </c>
    </row>
    <row r="13" ht="16.5" customHeight="1">
      <c r="A13" s="30" t="n">
        <v>11</v>
      </c>
      <c r="B13" s="31" t="n">
        <v>40</v>
      </c>
      <c r="C13" s="44" t="inlineStr">
        <is>
          <t>Nicholson Helicopters CC</t>
        </is>
      </c>
      <c r="D13" s="33" t="inlineStr">
        <is>
          <t>B &amp; E</t>
        </is>
      </c>
      <c r="E13" s="34" t="inlineStr">
        <is>
          <t>Main Base</t>
        </is>
      </c>
      <c r="F13" s="35" t="inlineStr">
        <is>
          <t>Rand Airport</t>
        </is>
      </c>
    </row>
    <row r="14" ht="16.5" customHeight="1">
      <c r="A14" s="25" t="n">
        <v>12</v>
      </c>
      <c r="B14" s="26" t="n">
        <v>43</v>
      </c>
      <c r="C14" s="27" t="inlineStr">
        <is>
          <t>South African Air Force - 21Squadron</t>
        </is>
      </c>
      <c r="D14" s="37" t="inlineStr">
        <is>
          <t>A, C &amp; W</t>
        </is>
      </c>
      <c r="E14" s="27" t="inlineStr">
        <is>
          <t>Main Base</t>
        </is>
      </c>
      <c r="F14" s="40" t="inlineStr">
        <is>
          <t>Waterkloof AFB</t>
        </is>
      </c>
    </row>
    <row r="15" ht="16.5" customHeight="1">
      <c r="A15" s="25" t="n">
        <v>13</v>
      </c>
      <c r="B15" s="26" t="n">
        <v>48</v>
      </c>
      <c r="C15" s="43" t="inlineStr">
        <is>
          <t>Skycare Maintenance</t>
        </is>
      </c>
      <c r="D15" s="37" t="inlineStr">
        <is>
          <t>A, B &amp; C</t>
        </is>
      </c>
      <c r="E15" s="27" t="inlineStr">
        <is>
          <t>Main Base</t>
        </is>
      </c>
      <c r="F15" s="37" t="inlineStr">
        <is>
          <t>Lanseria</t>
        </is>
      </c>
    </row>
    <row r="16" ht="16.5" customHeight="1">
      <c r="A16" s="25" t="n">
        <v>14</v>
      </c>
      <c r="B16" s="26" t="n">
        <v>51</v>
      </c>
      <c r="C16" s="45" t="inlineStr">
        <is>
          <t>Dart Aeronautical (Pty) Ltd</t>
        </is>
      </c>
      <c r="D16" s="37" t="inlineStr">
        <is>
          <t>X &amp; W</t>
        </is>
      </c>
      <c r="E16" s="27" t="inlineStr">
        <is>
          <t>Main Base</t>
        </is>
      </c>
      <c r="F16" s="46" t="inlineStr">
        <is>
          <t>Rand Airport</t>
        </is>
      </c>
    </row>
    <row r="17" ht="16.5" customHeight="1">
      <c r="A17" s="25" t="n">
        <v>15</v>
      </c>
      <c r="B17" s="26" t="n">
        <v>52</v>
      </c>
      <c r="C17" s="37" t="inlineStr">
        <is>
          <t>SA Airlink</t>
        </is>
      </c>
      <c r="D17" s="36" t="inlineStr">
        <is>
          <t>A, B, C, X &amp; W</t>
        </is>
      </c>
      <c r="E17" s="27" t="inlineStr">
        <is>
          <t>Main Base</t>
        </is>
      </c>
      <c r="F17" s="46" t="inlineStr">
        <is>
          <t>O.R. Tambo</t>
        </is>
      </c>
    </row>
    <row r="18" ht="16.5" customHeight="1">
      <c r="A18" s="25" t="n">
        <v>16</v>
      </c>
      <c r="B18" s="26" t="n">
        <v>53</v>
      </c>
      <c r="C18" s="45" t="inlineStr">
        <is>
          <t>Turbine Versions (Pty) Ltd</t>
        </is>
      </c>
      <c r="D18" s="37" t="inlineStr">
        <is>
          <t>A, B, C &amp; W</t>
        </is>
      </c>
      <c r="E18" s="27" t="inlineStr">
        <is>
          <t>Main Base</t>
        </is>
      </c>
      <c r="F18" s="40" t="inlineStr">
        <is>
          <t>Wonderboom</t>
        </is>
      </c>
    </row>
    <row r="19" ht="16.5" customHeight="1">
      <c r="A19" s="25" t="n">
        <v>17</v>
      </c>
      <c r="B19" s="26" t="n">
        <v>54</v>
      </c>
      <c r="C19" s="45" t="inlineStr">
        <is>
          <t>Aztec Electronics (Pty) Ltd</t>
        </is>
      </c>
      <c r="D19" s="37" t="inlineStr">
        <is>
          <t>X</t>
        </is>
      </c>
      <c r="E19" s="27" t="inlineStr">
        <is>
          <t>Main Base</t>
        </is>
      </c>
      <c r="F19" s="40" t="inlineStr">
        <is>
          <t>Elandsfontein</t>
        </is>
      </c>
    </row>
    <row r="20" ht="16.5" customHeight="1">
      <c r="A20" s="25" t="n">
        <v>18</v>
      </c>
      <c r="B20" s="26" t="n">
        <v>56</v>
      </c>
      <c r="C20" s="46" t="inlineStr">
        <is>
          <t>Lowveld Aircraft Services CC</t>
        </is>
      </c>
      <c r="D20" s="37" t="inlineStr">
        <is>
          <t>A, B, C &amp; W</t>
        </is>
      </c>
      <c r="E20" s="27" t="inlineStr">
        <is>
          <t>Main Base</t>
        </is>
      </c>
      <c r="F20" s="37" t="inlineStr">
        <is>
          <t>Nelspruit</t>
        </is>
      </c>
    </row>
    <row r="21" ht="34.2" customHeight="1">
      <c r="A21" s="25" t="n">
        <v>19</v>
      </c>
      <c r="B21" s="26" t="n">
        <v>57</v>
      </c>
      <c r="C21" s="47" t="inlineStr">
        <is>
          <t>Dentec Avionics ( Amended from Complete Avionics Systems (PTY) LTD)</t>
        </is>
      </c>
      <c r="D21" s="37" t="inlineStr">
        <is>
          <t>W &amp; X</t>
        </is>
      </c>
      <c r="E21" s="27" t="inlineStr">
        <is>
          <t>Main Base</t>
        </is>
      </c>
      <c r="F21" s="40" t="inlineStr">
        <is>
          <t>Wonderboom</t>
        </is>
      </c>
    </row>
    <row r="22" ht="16.5" customHeight="1">
      <c r="A22" s="25" t="n">
        <v>20</v>
      </c>
      <c r="B22" s="26" t="n">
        <v>59</v>
      </c>
      <c r="C22" s="43" t="inlineStr">
        <is>
          <t>Dart Aircraft Electrical</t>
        </is>
      </c>
      <c r="D22" s="37" t="inlineStr">
        <is>
          <t>W &amp; X</t>
        </is>
      </c>
      <c r="E22" s="27" t="inlineStr">
        <is>
          <t>Main Base</t>
        </is>
      </c>
      <c r="F22" s="46" t="inlineStr">
        <is>
          <t>Rand Airport</t>
        </is>
      </c>
    </row>
    <row r="23" ht="16.5" customHeight="1">
      <c r="A23" s="30" t="n">
        <v>21</v>
      </c>
      <c r="B23" s="31" t="n">
        <v>63</v>
      </c>
      <c r="C23" s="33" t="inlineStr">
        <is>
          <t>SANPARKS</t>
        </is>
      </c>
      <c r="D23" s="33" t="inlineStr">
        <is>
          <t>E</t>
        </is>
      </c>
      <c r="E23" s="34" t="inlineStr">
        <is>
          <t>Main Base</t>
        </is>
      </c>
      <c r="F23" s="33" t="inlineStr">
        <is>
          <t>Skukuza</t>
        </is>
      </c>
    </row>
    <row r="24" ht="16.5" customFormat="1" customHeight="1" s="69">
      <c r="A24" s="64" t="n">
        <v>22</v>
      </c>
      <c r="B24" s="65" t="n">
        <v>66</v>
      </c>
      <c r="C24" s="66" t="inlineStr">
        <is>
          <t>Spark Air CC</t>
        </is>
      </c>
      <c r="D24" s="67" t="inlineStr">
        <is>
          <t>A, B, C, W &amp; NTCA</t>
        </is>
      </c>
      <c r="E24" s="68" t="inlineStr">
        <is>
          <t>Main Base</t>
        </is>
      </c>
      <c r="F24" s="68" t="inlineStr">
        <is>
          <t>Parys Aerodrome</t>
        </is>
      </c>
    </row>
    <row r="25" ht="16.5" customHeight="1">
      <c r="A25" s="25" t="n">
        <v>23</v>
      </c>
      <c r="B25" s="26" t="n">
        <v>71</v>
      </c>
      <c r="C25" s="40" t="inlineStr">
        <is>
          <t>Alton Aero Engineering (Pty) Ltd</t>
        </is>
      </c>
      <c r="D25" s="37" t="inlineStr">
        <is>
          <t>A, B, C &amp; D</t>
        </is>
      </c>
      <c r="E25" s="27" t="inlineStr">
        <is>
          <t>Main Base</t>
        </is>
      </c>
      <c r="F25" s="46" t="inlineStr">
        <is>
          <t>Rand Airport</t>
        </is>
      </c>
    </row>
    <row r="26" ht="16.5" customHeight="1">
      <c r="A26" s="25" t="n">
        <v>24</v>
      </c>
      <c r="B26" s="26" t="n">
        <v>76</v>
      </c>
      <c r="C26" s="46" t="inlineStr">
        <is>
          <t>Turbo Prop Service Centre CC</t>
        </is>
      </c>
      <c r="D26" s="37" t="inlineStr">
        <is>
          <t>A, B &amp; C</t>
        </is>
      </c>
      <c r="E26" s="27" t="inlineStr">
        <is>
          <t>Main Base</t>
        </is>
      </c>
      <c r="F26" s="37" t="inlineStr">
        <is>
          <t>Lanseria</t>
        </is>
      </c>
    </row>
    <row r="27" ht="16.5" customHeight="1">
      <c r="A27" s="30" t="n">
        <v>25</v>
      </c>
      <c r="B27" s="31" t="n">
        <v>85</v>
      </c>
      <c r="C27" s="48" t="inlineStr">
        <is>
          <t>Transvaal Aircraft Maintenance (Pty) Ltd</t>
        </is>
      </c>
      <c r="D27" s="32" t="inlineStr">
        <is>
          <t>A, B, C, E &amp; W</t>
        </is>
      </c>
      <c r="E27" s="34" t="inlineStr">
        <is>
          <t>Main Base</t>
        </is>
      </c>
      <c r="F27" s="49" t="inlineStr">
        <is>
          <t>Wonderboom</t>
        </is>
      </c>
    </row>
    <row r="28" ht="16.5" customHeight="1">
      <c r="A28" s="30" t="n">
        <v>26</v>
      </c>
      <c r="B28" s="31" t="n">
        <v>90</v>
      </c>
      <c r="C28" s="48" t="inlineStr">
        <is>
          <t>PRECISION AVIATION SERVICES (PTY) Ltd</t>
        </is>
      </c>
      <c r="D28" s="33" t="inlineStr">
        <is>
          <t>B, E, W &amp; X</t>
        </is>
      </c>
      <c r="E28" s="34" t="inlineStr">
        <is>
          <t>Main Base</t>
        </is>
      </c>
      <c r="F28" s="49" t="inlineStr">
        <is>
          <t>Wonderboom</t>
        </is>
      </c>
    </row>
    <row r="29" ht="16.5" customHeight="1">
      <c r="A29" s="25" t="n">
        <v>27</v>
      </c>
      <c r="B29" s="26" t="n">
        <v>93</v>
      </c>
      <c r="C29" s="46" t="inlineStr">
        <is>
          <t>Law Aero Engine Overhaul CC</t>
        </is>
      </c>
      <c r="D29" s="37" t="inlineStr">
        <is>
          <t>C &amp; D</t>
        </is>
      </c>
      <c r="E29" s="27" t="inlineStr">
        <is>
          <t>Main Base</t>
        </is>
      </c>
      <c r="F29" s="37" t="inlineStr">
        <is>
          <t>Lanseria</t>
        </is>
      </c>
    </row>
    <row r="30" ht="16.5" customHeight="1">
      <c r="A30" s="26" t="n">
        <v>28</v>
      </c>
      <c r="B30" s="26" t="n">
        <v>95</v>
      </c>
      <c r="C30" s="37" t="inlineStr">
        <is>
          <t>Executive Avionic Solutions</t>
        </is>
      </c>
      <c r="D30" s="37" t="inlineStr">
        <is>
          <t>W &amp; X</t>
        </is>
      </c>
      <c r="E30" s="37" t="inlineStr">
        <is>
          <t>Main Base</t>
        </is>
      </c>
      <c r="F30" s="37" t="inlineStr">
        <is>
          <t>Lanseria</t>
        </is>
      </c>
    </row>
    <row r="31" ht="16.5" customHeight="1">
      <c r="A31" s="26" t="n">
        <v>29</v>
      </c>
      <c r="B31" s="26" t="n">
        <v>97</v>
      </c>
      <c r="C31" s="37" t="inlineStr">
        <is>
          <t>Balloon Workshop</t>
        </is>
      </c>
      <c r="D31" s="37" t="inlineStr">
        <is>
          <t>A &amp; B</t>
        </is>
      </c>
      <c r="E31" s="37" t="inlineStr">
        <is>
          <t>Main Base</t>
        </is>
      </c>
      <c r="F31" s="37" t="inlineStr">
        <is>
          <t>Pelindaba, Lanseria</t>
        </is>
      </c>
    </row>
    <row r="32" ht="16.5" customHeight="1">
      <c r="A32" s="26" t="n">
        <v>30</v>
      </c>
      <c r="B32" s="26" t="n">
        <v>102</v>
      </c>
      <c r="C32" s="37" t="inlineStr">
        <is>
          <t>Clifton Electronics CC</t>
        </is>
      </c>
      <c r="D32" s="37" t="inlineStr">
        <is>
          <t>X &amp; W</t>
        </is>
      </c>
      <c r="E32" s="37" t="inlineStr">
        <is>
          <t>Main Base</t>
        </is>
      </c>
      <c r="F32" s="37" t="inlineStr">
        <is>
          <t>Rand Airport</t>
        </is>
      </c>
    </row>
    <row r="33" ht="16.5" customHeight="1">
      <c r="A33" s="26" t="n">
        <v>31</v>
      </c>
      <c r="B33" s="26" t="n">
        <v>104</v>
      </c>
      <c r="C33" s="37" t="inlineStr">
        <is>
          <t>Skytech Aviation cc</t>
        </is>
      </c>
      <c r="D33" s="37" t="inlineStr">
        <is>
          <t>A, B &amp; C</t>
        </is>
      </c>
      <c r="E33" s="37" t="inlineStr">
        <is>
          <t>Main Base</t>
        </is>
      </c>
      <c r="F33" s="37" t="inlineStr">
        <is>
          <t>Rand Airport</t>
        </is>
      </c>
    </row>
    <row r="34" ht="16.5" customHeight="1">
      <c r="A34" s="26" t="n">
        <v>32</v>
      </c>
      <c r="B34" s="26" t="n">
        <v>107</v>
      </c>
      <c r="C34" s="37" t="inlineStr">
        <is>
          <t>Euro Blitz 21 (Pty) Ltd</t>
        </is>
      </c>
      <c r="D34" s="37" t="inlineStr">
        <is>
          <t>A, B &amp; C</t>
        </is>
      </c>
      <c r="E34" s="37" t="inlineStr">
        <is>
          <t>Main Base</t>
        </is>
      </c>
      <c r="F34" s="37" t="inlineStr">
        <is>
          <t>Rand Airport</t>
        </is>
      </c>
    </row>
    <row r="35" ht="16.5" customHeight="1">
      <c r="A35" s="31" t="n">
        <v>33</v>
      </c>
      <c r="B35" s="31" t="n">
        <v>115</v>
      </c>
      <c r="C35" s="33" t="inlineStr">
        <is>
          <t>BAC Aviation (Pty) Ltd</t>
        </is>
      </c>
      <c r="D35" s="33" t="inlineStr">
        <is>
          <t>B, D,  E, W, X,  NDT &amp; PLATING</t>
        </is>
      </c>
      <c r="E35" s="33" t="inlineStr">
        <is>
          <t>Main Base</t>
        </is>
      </c>
      <c r="F35" s="33" t="inlineStr">
        <is>
          <t>Durban-Shaka's Rock</t>
        </is>
      </c>
    </row>
    <row r="36" ht="16.5" customHeight="1">
      <c r="A36" s="26" t="n">
        <v>34</v>
      </c>
      <c r="B36" s="26" t="n">
        <v>119</v>
      </c>
      <c r="C36" s="37" t="inlineStr">
        <is>
          <t>Wellco Air Services CC</t>
        </is>
      </c>
      <c r="D36" s="37" t="inlineStr">
        <is>
          <t>A &amp; C</t>
        </is>
      </c>
      <c r="E36" s="37" t="inlineStr">
        <is>
          <t>Main Base</t>
        </is>
      </c>
      <c r="F36" s="37" t="inlineStr">
        <is>
          <t>Lanseria</t>
        </is>
      </c>
    </row>
    <row r="37" ht="16.5" customHeight="1">
      <c r="A37" s="26" t="n">
        <v>35</v>
      </c>
      <c r="B37" s="26" t="n">
        <v>120</v>
      </c>
      <c r="C37" s="37" t="inlineStr">
        <is>
          <t>Aero Maintenance Centre CC</t>
        </is>
      </c>
      <c r="D37" s="37" t="inlineStr">
        <is>
          <t>A, B &amp; C</t>
        </is>
      </c>
      <c r="E37" s="37" t="inlineStr">
        <is>
          <t>Main Base</t>
        </is>
      </c>
      <c r="F37" s="37" t="inlineStr">
        <is>
          <t>Wonderboom</t>
        </is>
      </c>
    </row>
    <row r="38" ht="16.5" customHeight="1">
      <c r="A38" s="26" t="n">
        <v>36</v>
      </c>
      <c r="B38" s="26" t="n">
        <v>129</v>
      </c>
      <c r="C38" s="37" t="inlineStr">
        <is>
          <t>Pro-Air Maintenance</t>
        </is>
      </c>
      <c r="D38" s="37" t="inlineStr">
        <is>
          <t>A, B, C &amp; X5</t>
        </is>
      </c>
      <c r="E38" s="37" t="inlineStr">
        <is>
          <t>Main Base</t>
        </is>
      </c>
      <c r="F38" s="37" t="inlineStr">
        <is>
          <t>Tzaneen Airport</t>
        </is>
      </c>
    </row>
    <row r="39" ht="14.4" customHeight="1">
      <c r="A39" s="31" t="n">
        <v>37</v>
      </c>
      <c r="B39" s="31" t="n">
        <v>133</v>
      </c>
      <c r="C39" s="33" t="inlineStr">
        <is>
          <t>Ferreira Aviation CC</t>
        </is>
      </c>
      <c r="D39" s="33" t="inlineStr">
        <is>
          <t>A, B, C &amp; E</t>
        </is>
      </c>
      <c r="E39" s="33" t="inlineStr">
        <is>
          <t>Main Base</t>
        </is>
      </c>
      <c r="F39" s="33" t="inlineStr">
        <is>
          <t>New Tempe</t>
        </is>
      </c>
    </row>
    <row r="40" ht="16.5" customHeight="1">
      <c r="A40" s="26" t="n">
        <v>38</v>
      </c>
      <c r="B40" s="26" t="n">
        <v>137</v>
      </c>
      <c r="C40" s="37" t="inlineStr">
        <is>
          <t>Plennegy (Pty) Ltd</t>
        </is>
      </c>
      <c r="D40" s="37" t="inlineStr">
        <is>
          <t>A, B, C &amp;  X</t>
        </is>
      </c>
      <c r="E40" s="37" t="inlineStr">
        <is>
          <t>Main Base</t>
        </is>
      </c>
      <c r="F40" s="37" t="inlineStr">
        <is>
          <t>Greytown, KZN</t>
        </is>
      </c>
    </row>
    <row r="41" ht="14.4" customHeight="1">
      <c r="A41" s="26" t="n">
        <v>39</v>
      </c>
      <c r="B41" s="26" t="n">
        <v>139</v>
      </c>
      <c r="C41" s="37" t="inlineStr">
        <is>
          <t>Proto Shop CC</t>
        </is>
      </c>
      <c r="D41" s="37" t="inlineStr">
        <is>
          <t>B</t>
        </is>
      </c>
      <c r="E41" s="37" t="inlineStr">
        <is>
          <t>Main Base</t>
        </is>
      </c>
      <c r="F41" s="37" t="inlineStr">
        <is>
          <t>Springs Airfield</t>
        </is>
      </c>
    </row>
    <row r="42" ht="14.4" customHeight="1">
      <c r="A42" s="31" t="n">
        <v>40</v>
      </c>
      <c r="B42" s="31" t="n">
        <v>141</v>
      </c>
      <c r="C42" s="33" t="inlineStr">
        <is>
          <t>Greystones Aviaton Components (Pty) Ltd</t>
        </is>
      </c>
      <c r="D42" s="33" t="inlineStr">
        <is>
          <t>B, D, E ,  W &amp; X</t>
        </is>
      </c>
      <c r="E42" s="33" t="inlineStr">
        <is>
          <t>Main Base</t>
        </is>
      </c>
      <c r="F42" s="33" t="inlineStr">
        <is>
          <t>Durban, Glen Anil</t>
        </is>
      </c>
    </row>
    <row r="43" ht="16.5" customHeight="1">
      <c r="A43" s="26" t="n">
        <v>41</v>
      </c>
      <c r="B43" s="26" t="n">
        <v>143</v>
      </c>
      <c r="C43" s="37" t="inlineStr">
        <is>
          <t>Fields Airmotive CC</t>
        </is>
      </c>
      <c r="D43" s="37" t="inlineStr">
        <is>
          <t>C,D X &amp; NDT</t>
        </is>
      </c>
      <c r="E43" s="37" t="inlineStr">
        <is>
          <t>Main Base</t>
        </is>
      </c>
      <c r="F43" s="37" t="inlineStr">
        <is>
          <t>Lanseria</t>
        </is>
      </c>
    </row>
    <row r="44" ht="16.5" customHeight="1">
      <c r="A44" s="26" t="n">
        <v>42</v>
      </c>
      <c r="B44" s="26" t="n">
        <v>149</v>
      </c>
      <c r="C44" s="37" t="inlineStr">
        <is>
          <t>Orsmond Aerial Spray (Pty) Ltd</t>
        </is>
      </c>
      <c r="D44" s="37" t="inlineStr">
        <is>
          <t>A &amp; C</t>
        </is>
      </c>
      <c r="E44" s="37" t="inlineStr">
        <is>
          <t>Main Base</t>
        </is>
      </c>
      <c r="F44" s="37" t="inlineStr">
        <is>
          <t>Bethlehem</t>
        </is>
      </c>
    </row>
    <row r="45" ht="16.5" customHeight="1">
      <c r="A45" s="26" t="n">
        <v>43</v>
      </c>
      <c r="B45" s="26" t="n">
        <v>155</v>
      </c>
      <c r="C45" s="37" t="inlineStr">
        <is>
          <t>Propeller Centre</t>
        </is>
      </c>
      <c r="D45" s="37" t="inlineStr">
        <is>
          <t>C , X &amp; NDT</t>
        </is>
      </c>
      <c r="E45" s="37" t="inlineStr">
        <is>
          <t>Main Base</t>
        </is>
      </c>
      <c r="F45" s="37" t="inlineStr">
        <is>
          <t>Wonderboom Airport</t>
        </is>
      </c>
    </row>
    <row r="46" ht="22.95" customHeight="1">
      <c r="A46" s="26" t="n">
        <v>44</v>
      </c>
      <c r="B46" s="26" t="n">
        <v>161</v>
      </c>
      <c r="C46" s="37" t="inlineStr">
        <is>
          <t>Margate Aircraft Services t/a Midcoast Air</t>
        </is>
      </c>
      <c r="D46" s="37" t="inlineStr">
        <is>
          <t>A, B , C</t>
        </is>
      </c>
      <c r="E46" s="37" t="inlineStr">
        <is>
          <t>Main Base</t>
        </is>
      </c>
      <c r="F46" s="37" t="inlineStr">
        <is>
          <t>Durban, Margate</t>
        </is>
      </c>
    </row>
    <row r="47" ht="16.5" customHeight="1">
      <c r="A47" s="26" t="n">
        <v>45</v>
      </c>
      <c r="B47" s="26" t="n">
        <v>163</v>
      </c>
      <c r="C47" s="37" t="inlineStr">
        <is>
          <t>Mkuze Aircraft Maintenance</t>
        </is>
      </c>
      <c r="D47" s="37" t="inlineStr">
        <is>
          <t>A &amp; C</t>
        </is>
      </c>
      <c r="E47" s="37" t="inlineStr">
        <is>
          <t>Main Base</t>
        </is>
      </c>
      <c r="F47" s="37" t="inlineStr">
        <is>
          <t>Mkuze, KZN</t>
        </is>
      </c>
    </row>
    <row r="48" ht="16.5" customHeight="1">
      <c r="A48" s="26" t="n">
        <v>46</v>
      </c>
      <c r="B48" s="26" t="n">
        <v>166</v>
      </c>
      <c r="C48" s="37" t="inlineStr">
        <is>
          <t>Sky Sprayers (Pty) Ltd</t>
        </is>
      </c>
      <c r="D48" s="37" t="inlineStr">
        <is>
          <t>A, B, C, D, W &amp; X</t>
        </is>
      </c>
      <c r="E48" s="37" t="inlineStr">
        <is>
          <t>Main Base</t>
        </is>
      </c>
      <c r="F48" s="37" t="inlineStr">
        <is>
          <t>Secunda Airfield</t>
        </is>
      </c>
    </row>
    <row r="49" ht="16.5" customHeight="1">
      <c r="A49" s="26" t="n">
        <v>47</v>
      </c>
      <c r="B49" s="26" t="n">
        <v>170</v>
      </c>
      <c r="C49" s="37" t="inlineStr">
        <is>
          <t>Mideast Aviation (Pty) Ltd</t>
        </is>
      </c>
      <c r="D49" s="37" t="inlineStr">
        <is>
          <t>A, B, C, D, W &amp;  X</t>
        </is>
      </c>
      <c r="E49" s="37" t="inlineStr">
        <is>
          <t>Main Base</t>
        </is>
      </c>
      <c r="F49" s="37" t="inlineStr">
        <is>
          <t>Durban, Virginia Airport</t>
        </is>
      </c>
    </row>
    <row r="50" ht="14.4" customHeight="1">
      <c r="A50" s="26" t="n">
        <v>48</v>
      </c>
      <c r="B50" s="26" t="n">
        <v>173</v>
      </c>
      <c r="C50" s="37" t="inlineStr">
        <is>
          <t>Absolute Service Centre (Pty) Ltd</t>
        </is>
      </c>
      <c r="D50" s="37" t="inlineStr">
        <is>
          <t>A &amp; C</t>
        </is>
      </c>
      <c r="E50" s="37" t="inlineStr">
        <is>
          <t>Main Base</t>
        </is>
      </c>
      <c r="F50" s="37" t="inlineStr">
        <is>
          <t>Lanseria</t>
        </is>
      </c>
    </row>
    <row r="51" ht="16.5" customHeight="1">
      <c r="A51" s="31" t="n">
        <v>49</v>
      </c>
      <c r="B51" s="31" t="n">
        <v>177</v>
      </c>
      <c r="C51" s="33" t="inlineStr">
        <is>
          <t>Airbus Southern Africa (Pty) Ltd</t>
        </is>
      </c>
      <c r="D51" s="33" t="inlineStr">
        <is>
          <t>E &amp; W</t>
        </is>
      </c>
      <c r="E51" s="33" t="inlineStr">
        <is>
          <t>Main Base</t>
        </is>
      </c>
      <c r="F51" s="33" t="inlineStr">
        <is>
          <t>Grand Central</t>
        </is>
      </c>
    </row>
    <row r="52" ht="16.5" customHeight="1">
      <c r="A52" s="26" t="n">
        <v>50</v>
      </c>
      <c r="B52" s="26" t="n">
        <v>188</v>
      </c>
      <c r="C52" s="37" t="inlineStr">
        <is>
          <t>Aviation Rebuilders CC</t>
        </is>
      </c>
      <c r="D52" s="37" t="inlineStr">
        <is>
          <t>B &amp; X5</t>
        </is>
      </c>
      <c r="E52" s="37" t="inlineStr">
        <is>
          <t>Main Base</t>
        </is>
      </c>
      <c r="F52" s="37" t="inlineStr">
        <is>
          <t>Rand Airport</t>
        </is>
      </c>
    </row>
    <row r="53" ht="16.5" customHeight="1">
      <c r="A53" s="26" t="n">
        <v>51</v>
      </c>
      <c r="B53" s="26" t="n">
        <v>198</v>
      </c>
      <c r="C53" s="37" t="inlineStr">
        <is>
          <t>Execujet MRO Services (Pty) Ltd</t>
        </is>
      </c>
      <c r="D53" s="37" t="inlineStr">
        <is>
          <t>A, B ,C, D, W &amp; X</t>
        </is>
      </c>
      <c r="E53" s="37" t="inlineStr">
        <is>
          <t>Main Base</t>
        </is>
      </c>
      <c r="F53" s="37" t="inlineStr">
        <is>
          <t>Lanseria</t>
        </is>
      </c>
    </row>
    <row r="54" ht="25.2" customHeight="1">
      <c r="A54" s="26" t="n">
        <v>52</v>
      </c>
      <c r="B54" s="26" t="n">
        <v>201</v>
      </c>
      <c r="C54" s="37" t="inlineStr">
        <is>
          <t>Oribi Flying Services Maintenance (Pty) Ltd</t>
        </is>
      </c>
      <c r="D54" s="37" t="inlineStr">
        <is>
          <t>A, B &amp; C</t>
        </is>
      </c>
      <c r="E54" s="37" t="inlineStr">
        <is>
          <t>Main Base</t>
        </is>
      </c>
      <c r="F54" s="37" t="inlineStr">
        <is>
          <t>Durban, Pietermaritzburg</t>
        </is>
      </c>
    </row>
    <row r="55" ht="16.5" customHeight="1">
      <c r="A55" s="26" t="n">
        <v>53</v>
      </c>
      <c r="B55" s="26" t="n">
        <v>202</v>
      </c>
      <c r="C55" s="37" t="inlineStr">
        <is>
          <t>Skycore (Pty) Ltd</t>
        </is>
      </c>
      <c r="D55" s="37" t="inlineStr">
        <is>
          <t>A, B, C, D, X &amp; W</t>
        </is>
      </c>
      <c r="E55" s="37" t="inlineStr">
        <is>
          <t>Main Base</t>
        </is>
      </c>
      <c r="F55" s="37" t="inlineStr">
        <is>
          <t>Namibia</t>
        </is>
      </c>
    </row>
    <row r="56" ht="16.5" customHeight="1">
      <c r="A56" s="26" t="n">
        <v>54</v>
      </c>
      <c r="B56" s="26" t="n">
        <v>208</v>
      </c>
      <c r="C56" s="37" t="inlineStr">
        <is>
          <t>Flamboyant Balloons (Pty) Ltd</t>
        </is>
      </c>
      <c r="D56" s="37" t="inlineStr">
        <is>
          <t>A &amp; B - Balloons</t>
        </is>
      </c>
      <c r="E56" s="37" t="inlineStr">
        <is>
          <t>Main Base</t>
        </is>
      </c>
      <c r="F56" s="37" t="inlineStr">
        <is>
          <t>Roodepoort</t>
        </is>
      </c>
    </row>
    <row r="57" ht="16.5" customHeight="1">
      <c r="A57" s="26" t="n">
        <v>55</v>
      </c>
      <c r="B57" s="26" t="n">
        <v>210</v>
      </c>
      <c r="C57" s="37" t="inlineStr">
        <is>
          <t>Superior Aeroworx</t>
        </is>
      </c>
      <c r="D57" s="37" t="inlineStr">
        <is>
          <t>A, B &amp; C</t>
        </is>
      </c>
      <c r="E57" s="37" t="inlineStr">
        <is>
          <t>Main Base</t>
        </is>
      </c>
      <c r="F57" s="37" t="inlineStr">
        <is>
          <t>Grand Central</t>
        </is>
      </c>
    </row>
    <row r="58" ht="16.5" customHeight="1">
      <c r="A58" s="26" t="n">
        <v>56</v>
      </c>
      <c r="B58" s="26" t="n">
        <v>214</v>
      </c>
      <c r="C58" s="37" t="inlineStr">
        <is>
          <t>Joc Air CC t/a The Propeller Shop</t>
        </is>
      </c>
      <c r="D58" s="37" t="inlineStr">
        <is>
          <t>C &amp; X</t>
        </is>
      </c>
      <c r="E58" s="37" t="inlineStr">
        <is>
          <t>Main Base</t>
        </is>
      </c>
      <c r="F58" s="37" t="inlineStr">
        <is>
          <t>Lanseria</t>
        </is>
      </c>
    </row>
    <row r="59" ht="16.5" customHeight="1">
      <c r="A59" s="26" t="n">
        <v>57</v>
      </c>
      <c r="B59" s="26" t="n">
        <v>227</v>
      </c>
      <c r="C59" s="37" t="inlineStr">
        <is>
          <t>Aero Engineering and Powerplant</t>
        </is>
      </c>
      <c r="D59" s="37" t="inlineStr">
        <is>
          <t>C, D ,X &amp; Special  Processes</t>
        </is>
      </c>
      <c r="E59" s="37" t="inlineStr">
        <is>
          <t>Main Base</t>
        </is>
      </c>
      <c r="F59" s="37" t="inlineStr">
        <is>
          <t>Wonderboom</t>
        </is>
      </c>
    </row>
    <row r="60" ht="16.5" customHeight="1">
      <c r="A60" s="31" t="n">
        <v>58</v>
      </c>
      <c r="B60" s="31" t="n">
        <v>237</v>
      </c>
      <c r="C60" s="33" t="inlineStr">
        <is>
          <t>Hover Dynamics Maintenance CC</t>
        </is>
      </c>
      <c r="D60" s="33" t="inlineStr">
        <is>
          <t>E</t>
        </is>
      </c>
      <c r="E60" s="33" t="inlineStr">
        <is>
          <t>Main Base</t>
        </is>
      </c>
      <c r="F60" s="33" t="inlineStr">
        <is>
          <t>Grand Central</t>
        </is>
      </c>
    </row>
    <row r="61" ht="16.5" customHeight="1">
      <c r="A61" s="26" t="n">
        <v>59</v>
      </c>
      <c r="B61" s="26" t="n">
        <v>246</v>
      </c>
      <c r="C61" s="37" t="inlineStr">
        <is>
          <t>Astwood Aircraft Electrical CC</t>
        </is>
      </c>
      <c r="D61" s="37" t="inlineStr">
        <is>
          <t>X &amp; W</t>
        </is>
      </c>
      <c r="E61" s="37" t="inlineStr">
        <is>
          <t>Main Base</t>
        </is>
      </c>
      <c r="F61" s="37" t="inlineStr">
        <is>
          <t>Grand Central</t>
        </is>
      </c>
    </row>
    <row r="62" ht="16.5" customHeight="1">
      <c r="A62" s="31" t="n">
        <v>60</v>
      </c>
      <c r="B62" s="31" t="n">
        <v>247</v>
      </c>
      <c r="C62" s="33" t="inlineStr">
        <is>
          <t>Heli-Fix cc</t>
        </is>
      </c>
      <c r="D62" s="33" t="inlineStr">
        <is>
          <t>A, B, C, E &amp; W</t>
        </is>
      </c>
      <c r="E62" s="33" t="inlineStr">
        <is>
          <t>Main Base</t>
        </is>
      </c>
      <c r="F62" s="33" t="inlineStr">
        <is>
          <t>Wonderboom</t>
        </is>
      </c>
    </row>
    <row r="63" ht="16.5" customHeight="1">
      <c r="A63" s="31" t="n">
        <v>61</v>
      </c>
      <c r="B63" s="31" t="n">
        <v>261</v>
      </c>
      <c r="C63" s="33" t="inlineStr">
        <is>
          <t>Leading Edge Aviation cc</t>
        </is>
      </c>
      <c r="D63" s="33" t="inlineStr">
        <is>
          <t>A, B &amp; E</t>
        </is>
      </c>
      <c r="E63" s="33" t="inlineStr">
        <is>
          <t>Main Base</t>
        </is>
      </c>
      <c r="F63" s="33" t="inlineStr">
        <is>
          <t>Nelspruit</t>
        </is>
      </c>
    </row>
    <row r="64" ht="16.5" customHeight="1">
      <c r="A64" s="31" t="n">
        <v>62</v>
      </c>
      <c r="B64" s="31" t="n">
        <v>262</v>
      </c>
      <c r="C64" s="33" t="inlineStr">
        <is>
          <t>Denel Aviation</t>
        </is>
      </c>
      <c r="D64" s="33" t="inlineStr">
        <is>
          <t>A, B, C, E, W,  X &amp; NDT</t>
        </is>
      </c>
      <c r="E64" s="33" t="inlineStr">
        <is>
          <t>Main Base</t>
        </is>
      </c>
      <c r="F64" s="34" t="inlineStr">
        <is>
          <t>O.R Tambo -Denel</t>
        </is>
      </c>
    </row>
    <row r="65" ht="16.5" customHeight="1">
      <c r="A65" s="31" t="n">
        <v>63</v>
      </c>
      <c r="B65" s="31" t="n">
        <v>267</v>
      </c>
      <c r="C65" s="33" t="inlineStr">
        <is>
          <t>Henley Air Technical</t>
        </is>
      </c>
      <c r="D65" s="33" t="inlineStr">
        <is>
          <t>E &amp; W</t>
        </is>
      </c>
      <c r="E65" s="33" t="inlineStr">
        <is>
          <t>Main Base</t>
        </is>
      </c>
      <c r="F65" s="33" t="inlineStr">
        <is>
          <t>Rand Airport</t>
        </is>
      </c>
    </row>
    <row r="66" ht="16.5" customHeight="1">
      <c r="A66" s="26" t="n">
        <v>64</v>
      </c>
      <c r="B66" s="26" t="n">
        <v>274</v>
      </c>
      <c r="C66" s="37" t="inlineStr">
        <is>
          <t>Pilatus Flugzeugwerke AG</t>
        </is>
      </c>
      <c r="D66" s="37" t="inlineStr">
        <is>
          <t>A, B, C, D W, X, NDT &amp; Special Proc</t>
        </is>
      </c>
      <c r="E66" s="37" t="inlineStr">
        <is>
          <t>Main Base</t>
        </is>
      </c>
      <c r="F66" s="37" t="inlineStr">
        <is>
          <t>Switzerland - Stanz</t>
        </is>
      </c>
    </row>
    <row r="67" ht="16.5" customHeight="1">
      <c r="A67" s="26" t="n">
        <v>65</v>
      </c>
      <c r="B67" s="26" t="n">
        <v>278</v>
      </c>
      <c r="C67" s="37" t="inlineStr">
        <is>
          <t>ALR Flight Investments PTY (LTD)</t>
        </is>
      </c>
      <c r="D67" s="37" t="inlineStr">
        <is>
          <t>A, B &amp;  C</t>
        </is>
      </c>
      <c r="E67" s="37" t="inlineStr">
        <is>
          <t>Main Base</t>
        </is>
      </c>
      <c r="F67" s="37" t="inlineStr">
        <is>
          <t>Wonderboom</t>
        </is>
      </c>
    </row>
    <row r="68" ht="16.5" customHeight="1">
      <c r="A68" s="31" t="n">
        <v>66</v>
      </c>
      <c r="B68" s="31" t="n">
        <v>279</v>
      </c>
      <c r="C68" s="33" t="inlineStr">
        <is>
          <t>NRG EXPLORATION CC</t>
        </is>
      </c>
      <c r="D68" s="33" t="inlineStr">
        <is>
          <t>A,C,E &amp; W</t>
        </is>
      </c>
      <c r="E68" s="33" t="inlineStr">
        <is>
          <t>Main Base</t>
        </is>
      </c>
      <c r="F68" s="33" t="inlineStr">
        <is>
          <t>Wonderboom</t>
        </is>
      </c>
    </row>
    <row r="69" ht="16.5" customHeight="1">
      <c r="A69" s="26" t="n">
        <v>67</v>
      </c>
      <c r="B69" s="26" t="n">
        <v>283</v>
      </c>
      <c r="C69" s="37" t="inlineStr">
        <is>
          <t>Bedek Aviation Group</t>
        </is>
      </c>
      <c r="D69" s="37" t="inlineStr">
        <is>
          <t>A,B,C,D,W&amp;X</t>
        </is>
      </c>
      <c r="E69" s="37" t="inlineStr">
        <is>
          <t>Main Base</t>
        </is>
      </c>
      <c r="F69" s="37" t="inlineStr">
        <is>
          <t>Israel, Tel Aviv</t>
        </is>
      </c>
    </row>
    <row r="70" ht="33" customHeight="1">
      <c r="A70" s="26" t="n">
        <v>68</v>
      </c>
      <c r="B70" s="26" t="n">
        <v>291</v>
      </c>
      <c r="C70" s="37" t="inlineStr">
        <is>
          <t>Peak Aviation CC</t>
        </is>
      </c>
      <c r="D70" s="37" t="inlineStr">
        <is>
          <t>A &amp; C</t>
        </is>
      </c>
      <c r="E70" s="37" t="inlineStr">
        <is>
          <t>Main Base</t>
        </is>
      </c>
      <c r="F70" s="50" t="inlineStr">
        <is>
          <t>Krugersdorp, Jack Taylor
Airfield</t>
        </is>
      </c>
    </row>
    <row r="71" ht="16.5" customHeight="1">
      <c r="A71" s="26" t="n">
        <v>69</v>
      </c>
      <c r="B71" s="26" t="n">
        <v>298</v>
      </c>
      <c r="C71" s="37" t="inlineStr">
        <is>
          <t>LEARJET, INC (Bombardier)</t>
        </is>
      </c>
      <c r="D71" s="37" t="inlineStr">
        <is>
          <t>A, B, C, W &amp; X</t>
        </is>
      </c>
      <c r="E71" s="37" t="inlineStr">
        <is>
          <t>Main Base</t>
        </is>
      </c>
      <c r="F71" s="37" t="inlineStr">
        <is>
          <t>USA</t>
        </is>
      </c>
    </row>
    <row r="72" ht="16.5" customHeight="1">
      <c r="A72" s="26" t="n">
        <v>70</v>
      </c>
      <c r="B72" s="26" t="n">
        <v>350</v>
      </c>
      <c r="C72" s="37" t="inlineStr">
        <is>
          <t>F Gomes Upholsters</t>
        </is>
      </c>
      <c r="D72" s="37" t="inlineStr">
        <is>
          <t>B</t>
        </is>
      </c>
      <c r="E72" s="37" t="inlineStr">
        <is>
          <t>Main Base</t>
        </is>
      </c>
      <c r="F72" s="37" t="inlineStr">
        <is>
          <t>Johannnesburg</t>
        </is>
      </c>
    </row>
    <row r="73" ht="16.5" customHeight="1">
      <c r="A73" s="26" t="n">
        <v>71</v>
      </c>
      <c r="B73" s="26" t="n">
        <v>443</v>
      </c>
      <c r="C73" s="37" t="inlineStr">
        <is>
          <t>Buck Rogers Aviation</t>
        </is>
      </c>
      <c r="D73" s="37" t="inlineStr">
        <is>
          <t>A &amp; B</t>
        </is>
      </c>
      <c r="E73" s="37" t="inlineStr">
        <is>
          <t>Main Base</t>
        </is>
      </c>
      <c r="F73" s="37" t="inlineStr">
        <is>
          <t>Erand, Midrand</t>
        </is>
      </c>
    </row>
    <row r="74" ht="16.5" customHeight="1">
      <c r="A74" s="26" t="n">
        <v>72</v>
      </c>
      <c r="B74" s="26" t="n">
        <v>506</v>
      </c>
      <c r="C74" s="37" t="inlineStr">
        <is>
          <t>Aerospace Electroplating CC</t>
        </is>
      </c>
      <c r="D74" s="37" t="inlineStr">
        <is>
          <t>Special Processes</t>
        </is>
      </c>
      <c r="E74" s="37" t="inlineStr">
        <is>
          <t>Main Base</t>
        </is>
      </c>
      <c r="F74" s="37" t="inlineStr">
        <is>
          <t>Rand Airport</t>
        </is>
      </c>
    </row>
    <row r="75" ht="16.5" customHeight="1">
      <c r="A75" s="26" t="n">
        <v>73</v>
      </c>
      <c r="B75" s="26" t="n">
        <v>523</v>
      </c>
      <c r="C75" s="37" t="inlineStr">
        <is>
          <t>Aero Test NDT cc</t>
        </is>
      </c>
      <c r="D75" s="37" t="inlineStr">
        <is>
          <t>NDT</t>
        </is>
      </c>
      <c r="E75" s="37" t="inlineStr">
        <is>
          <t>Main Base</t>
        </is>
      </c>
      <c r="F75" s="27" t="inlineStr">
        <is>
          <t>O.R Tambo -Safair</t>
        </is>
      </c>
    </row>
    <row r="76" ht="16.5" customHeight="1">
      <c r="A76" s="26" t="n">
        <v>74</v>
      </c>
      <c r="B76" s="26" t="n">
        <v>530</v>
      </c>
      <c r="C76" s="37" t="inlineStr">
        <is>
          <t>Jet Aviation Basel</t>
        </is>
      </c>
      <c r="D76" s="37" t="inlineStr">
        <is>
          <t>A, C, D, W &amp; special processes</t>
        </is>
      </c>
      <c r="E76" s="37" t="inlineStr">
        <is>
          <t>Main Base</t>
        </is>
      </c>
      <c r="F76" s="37" t="inlineStr">
        <is>
          <t>Switzerland, Basel</t>
        </is>
      </c>
    </row>
    <row r="77" ht="16.5" customHeight="1">
      <c r="A77" s="26" t="n">
        <v>75</v>
      </c>
      <c r="B77" s="26" t="n">
        <v>591</v>
      </c>
      <c r="C77" s="37" t="inlineStr">
        <is>
          <t>Aeroweld &amp; Supplies</t>
        </is>
      </c>
      <c r="D77" s="37" t="inlineStr">
        <is>
          <t>X5</t>
        </is>
      </c>
      <c r="E77" s="37" t="inlineStr">
        <is>
          <t>Main Base</t>
        </is>
      </c>
      <c r="F77" s="37" t="inlineStr">
        <is>
          <t>Durban</t>
        </is>
      </c>
    </row>
    <row r="78" ht="16.5" customHeight="1">
      <c r="A78" s="26" t="n">
        <v>76</v>
      </c>
      <c r="B78" s="26" t="n">
        <v>599</v>
      </c>
      <c r="C78" s="37" t="inlineStr">
        <is>
          <t>Mistral Aviation Services (Pty) Ltd</t>
        </is>
      </c>
      <c r="D78" s="37" t="inlineStr">
        <is>
          <t>B</t>
        </is>
      </c>
      <c r="E78" s="37" t="inlineStr">
        <is>
          <t>Main Base</t>
        </is>
      </c>
      <c r="F78" s="37" t="inlineStr">
        <is>
          <t>Boanero Park-Safair</t>
        </is>
      </c>
    </row>
    <row r="79" ht="16.5" customHeight="1">
      <c r="A79" s="26" t="n">
        <v>77</v>
      </c>
      <c r="B79" s="26" t="n">
        <v>620</v>
      </c>
      <c r="C79" s="37" t="inlineStr">
        <is>
          <t>Lanseria Aircraft Interiors</t>
        </is>
      </c>
      <c r="D79" s="37" t="inlineStr">
        <is>
          <t>B</t>
        </is>
      </c>
      <c r="E79" s="37" t="inlineStr">
        <is>
          <t>Main Base</t>
        </is>
      </c>
      <c r="F79" s="37" t="inlineStr">
        <is>
          <t>Lanseria</t>
        </is>
      </c>
    </row>
    <row r="80" ht="16.5" customHeight="1">
      <c r="A80" s="26" t="n">
        <v>78</v>
      </c>
      <c r="B80" s="26" t="n">
        <v>622</v>
      </c>
      <c r="C80" s="37" t="inlineStr">
        <is>
          <t>Skyhawk Aviation (Pty) Ltd</t>
        </is>
      </c>
      <c r="D80" s="37" t="inlineStr">
        <is>
          <t>A &amp; C</t>
        </is>
      </c>
      <c r="E80" s="37" t="inlineStr">
        <is>
          <t>Main Base</t>
        </is>
      </c>
      <c r="F80" s="37" t="inlineStr">
        <is>
          <t>Lanseria</t>
        </is>
      </c>
    </row>
    <row r="81" ht="16.5" customHeight="1">
      <c r="A81" s="26" t="n">
        <v>79</v>
      </c>
      <c r="B81" s="26" t="n">
        <v>627</v>
      </c>
      <c r="C81" s="37" t="inlineStr">
        <is>
          <t>Lecin Spraypainting Services CC</t>
        </is>
      </c>
      <c r="D81" s="37" t="inlineStr">
        <is>
          <t>B</t>
        </is>
      </c>
      <c r="E81" s="37" t="inlineStr">
        <is>
          <t>Main Base</t>
        </is>
      </c>
      <c r="F81" s="37" t="inlineStr">
        <is>
          <t>O.R.Tambo - Denel</t>
        </is>
      </c>
    </row>
    <row r="82" ht="16.5" customHeight="1">
      <c r="A82" s="26" t="n">
        <v>80</v>
      </c>
      <c r="B82" s="26" t="n">
        <v>642</v>
      </c>
      <c r="C82" s="37" t="inlineStr">
        <is>
          <t>Unit Inspection Aviation Services CC</t>
        </is>
      </c>
      <c r="D82" s="37" t="inlineStr">
        <is>
          <t>NDT</t>
        </is>
      </c>
      <c r="E82" s="37" t="inlineStr">
        <is>
          <t>Main Base</t>
        </is>
      </c>
      <c r="F82" s="37" t="inlineStr">
        <is>
          <t>Lanseria</t>
        </is>
      </c>
    </row>
    <row r="83" ht="16.5" customHeight="1">
      <c r="A83" s="26" t="n">
        <v>81</v>
      </c>
      <c r="B83" s="26" t="n">
        <v>802</v>
      </c>
      <c r="C83" s="37" t="inlineStr">
        <is>
          <t>Textron</t>
        </is>
      </c>
      <c r="D83" s="37" t="inlineStr">
        <is>
          <t>A, B &amp; C</t>
        </is>
      </c>
      <c r="E83" s="37" t="inlineStr">
        <is>
          <t>Main Base</t>
        </is>
      </c>
      <c r="F83" s="37" t="inlineStr">
        <is>
          <t>USA -Wichita</t>
        </is>
      </c>
    </row>
    <row r="84" ht="14.4" customHeight="1">
      <c r="A84" s="186" t="n">
        <v>82</v>
      </c>
      <c r="B84" s="187" t="n">
        <v>803</v>
      </c>
      <c r="C84" s="188" t="inlineStr">
        <is>
          <t>Lufthanza Technik AG</t>
        </is>
      </c>
      <c r="D84" s="37" t="inlineStr">
        <is>
          <t>A, C, D, W, X, NDT &amp; SPECIAL PROCESSES</t>
        </is>
      </c>
      <c r="E84" s="37" t="inlineStr">
        <is>
          <t>Main Base</t>
        </is>
      </c>
      <c r="F84" s="37" t="inlineStr">
        <is>
          <t>Germany, Hamburg</t>
        </is>
      </c>
    </row>
    <row r="85" ht="16.5" customHeight="1">
      <c r="A85" s="199" t="n"/>
      <c r="B85" s="199" t="n"/>
      <c r="C85" s="199" t="n"/>
      <c r="D85" s="37" t="inlineStr">
        <is>
          <t>D, X, NDT &amp; SPECIAL PROCESSES</t>
        </is>
      </c>
      <c r="E85" s="189" t="inlineStr">
        <is>
          <t>Satellite-Stations</t>
        </is>
      </c>
      <c r="F85" s="37" t="inlineStr">
        <is>
          <t>Germany - Munich</t>
        </is>
      </c>
    </row>
    <row r="86" ht="33" customHeight="1">
      <c r="A86" s="199" t="n"/>
      <c r="B86" s="199" t="n"/>
      <c r="C86" s="199" t="n"/>
      <c r="D86" s="50" t="inlineStr">
        <is>
          <t>A, B, C, D, W, X, NDT &amp; SPECIAL
PROCESSES</t>
        </is>
      </c>
      <c r="E86" s="199" t="n"/>
      <c r="F86" s="37" t="inlineStr">
        <is>
          <t>Germany - Frankfurt</t>
        </is>
      </c>
    </row>
    <row r="87" ht="16.5" customHeight="1">
      <c r="A87" s="199" t="n"/>
      <c r="B87" s="199" t="n"/>
      <c r="C87" s="199" t="n"/>
      <c r="D87" s="37" t="inlineStr">
        <is>
          <t>A, C &amp; W</t>
        </is>
      </c>
      <c r="E87" s="199" t="n"/>
      <c r="F87" s="37" t="inlineStr">
        <is>
          <t>Malta</t>
        </is>
      </c>
    </row>
    <row r="88" ht="16.5" customHeight="1">
      <c r="A88" s="199" t="n"/>
      <c r="B88" s="199" t="n"/>
      <c r="C88" s="199" t="n"/>
      <c r="D88" s="37" t="inlineStr">
        <is>
          <t>A, C &amp; W</t>
        </is>
      </c>
      <c r="E88" s="199" t="n"/>
      <c r="F88" s="37" t="inlineStr">
        <is>
          <t>Hungary</t>
        </is>
      </c>
    </row>
    <row r="89" ht="16.5" customHeight="1">
      <c r="A89" s="199" t="n"/>
      <c r="B89" s="199" t="n"/>
      <c r="C89" s="199" t="n"/>
      <c r="D89" s="37" t="inlineStr">
        <is>
          <t>A, B, C, W &amp; NDT</t>
        </is>
      </c>
      <c r="E89" s="199" t="n"/>
      <c r="F89" s="37" t="inlineStr">
        <is>
          <t>Bulgaria</t>
        </is>
      </c>
    </row>
    <row r="90" ht="16.5" customHeight="1">
      <c r="A90" s="199" t="n"/>
      <c r="B90" s="199" t="n"/>
      <c r="C90" s="199" t="n"/>
      <c r="D90" s="37" t="inlineStr">
        <is>
          <t>B &amp; NDT</t>
        </is>
      </c>
      <c r="E90" s="199" t="n"/>
      <c r="F90" s="37" t="inlineStr">
        <is>
          <t>UK</t>
        </is>
      </c>
    </row>
    <row r="91" ht="16.5" customHeight="1">
      <c r="A91" s="51" t="n"/>
      <c r="B91" s="51" t="n"/>
      <c r="C91" s="51" t="n"/>
      <c r="D91" s="37" t="inlineStr">
        <is>
          <t>A, C &amp; W</t>
        </is>
      </c>
      <c r="E91" s="51" t="n"/>
      <c r="F91" s="37" t="inlineStr">
        <is>
          <t>Germany-Alzey</t>
        </is>
      </c>
    </row>
    <row r="92" ht="16.5" customHeight="1">
      <c r="A92" s="26" t="n">
        <v>83</v>
      </c>
      <c r="B92" s="26" t="n">
        <v>810</v>
      </c>
      <c r="C92" s="37" t="inlineStr">
        <is>
          <t>Blue Bird Aviation</t>
        </is>
      </c>
      <c r="D92" s="37" t="inlineStr">
        <is>
          <t>A,C &amp; W</t>
        </is>
      </c>
      <c r="E92" s="37" t="inlineStr">
        <is>
          <t>Main Base</t>
        </is>
      </c>
      <c r="F92" s="37" t="inlineStr">
        <is>
          <t>Khartoum, Sudan</t>
        </is>
      </c>
    </row>
    <row r="93" ht="16.5" customHeight="1">
      <c r="A93" s="26" t="n">
        <v>84</v>
      </c>
      <c r="B93" s="26" t="n">
        <v>813</v>
      </c>
      <c r="C93" s="37" t="inlineStr">
        <is>
          <t>Academy Air</t>
        </is>
      </c>
      <c r="D93" s="37" t="inlineStr">
        <is>
          <t>A &amp; C</t>
        </is>
      </c>
      <c r="E93" s="37" t="inlineStr">
        <is>
          <t>Main Base</t>
        </is>
      </c>
      <c r="F93" s="37" t="inlineStr">
        <is>
          <t>Rand Airport</t>
        </is>
      </c>
    </row>
    <row r="94" ht="28.95" customHeight="1">
      <c r="A94" s="26" t="n">
        <v>85</v>
      </c>
      <c r="B94" s="26" t="n">
        <v>816</v>
      </c>
      <c r="C94" s="37" t="inlineStr">
        <is>
          <t>Executive Air Zimbabwe</t>
        </is>
      </c>
      <c r="D94" s="37" t="inlineStr">
        <is>
          <t>A, C, W &amp; X</t>
        </is>
      </c>
      <c r="E94" s="37" t="inlineStr">
        <is>
          <t>Main Base</t>
        </is>
      </c>
      <c r="F94" s="37" t="inlineStr">
        <is>
          <t>Zimbabwe- Prince Charles</t>
        </is>
      </c>
    </row>
    <row r="95" ht="16.5" customHeight="1">
      <c r="A95" s="31" t="n">
        <v>86</v>
      </c>
      <c r="B95" s="31" t="n">
        <v>824</v>
      </c>
      <c r="C95" s="33" t="inlineStr">
        <is>
          <t>Starlite Maintenance Durban (Pty) Ltd</t>
        </is>
      </c>
      <c r="D95" s="33" t="inlineStr">
        <is>
          <t>B ,E &amp; W</t>
        </is>
      </c>
      <c r="E95" s="33" t="inlineStr">
        <is>
          <t>Main Base</t>
        </is>
      </c>
      <c r="F95" s="33" t="inlineStr">
        <is>
          <t>Durban-Virginia Airport</t>
        </is>
      </c>
    </row>
    <row r="96" ht="16.5" customHeight="1">
      <c r="A96" s="26" t="n">
        <v>87</v>
      </c>
      <c r="B96" s="26" t="n">
        <v>829</v>
      </c>
      <c r="C96" s="37" t="inlineStr">
        <is>
          <t>Turbo Prop Service Centre Uganda Ltd</t>
        </is>
      </c>
      <c r="D96" s="37" t="inlineStr">
        <is>
          <t>A, C &amp; W</t>
        </is>
      </c>
      <c r="E96" s="37" t="inlineStr">
        <is>
          <t>Main Base</t>
        </is>
      </c>
      <c r="F96" s="37" t="inlineStr">
        <is>
          <t>Uganda</t>
        </is>
      </c>
    </row>
    <row r="97" ht="16.5" customHeight="1">
      <c r="A97" s="31" t="n">
        <v>88</v>
      </c>
      <c r="B97" s="31" t="n">
        <v>830</v>
      </c>
      <c r="C97" s="33" t="inlineStr">
        <is>
          <t>Heli-Afrique</t>
        </is>
      </c>
      <c r="D97" s="33" t="inlineStr">
        <is>
          <t>B &amp;  E</t>
        </is>
      </c>
      <c r="E97" s="33" t="inlineStr">
        <is>
          <t>Main Base</t>
        </is>
      </c>
      <c r="F97" s="33" t="inlineStr">
        <is>
          <t>Rand Airport</t>
        </is>
      </c>
    </row>
    <row r="98" ht="16.5" customHeight="1">
      <c r="A98" s="26" t="n">
        <v>89</v>
      </c>
      <c r="B98" s="26" t="n">
        <v>844</v>
      </c>
      <c r="C98" s="37" t="inlineStr">
        <is>
          <t>Superior Millenium Aircraft Engines CC</t>
        </is>
      </c>
      <c r="D98" s="37" t="inlineStr">
        <is>
          <t>A, B, C,  D &amp; NTCA</t>
        </is>
      </c>
      <c r="E98" s="37" t="inlineStr">
        <is>
          <t>Main Base</t>
        </is>
      </c>
      <c r="F98" s="37" t="inlineStr">
        <is>
          <t>Springs Airfield</t>
        </is>
      </c>
    </row>
    <row r="99" ht="16.5" customHeight="1">
      <c r="A99" s="31" t="n">
        <v>90</v>
      </c>
      <c r="B99" s="31" t="n">
        <v>846</v>
      </c>
      <c r="C99" s="33" t="inlineStr">
        <is>
          <t>Trio  Helicopters &amp;  Aviation</t>
        </is>
      </c>
      <c r="D99" s="33" t="inlineStr">
        <is>
          <t>B &amp; E</t>
        </is>
      </c>
      <c r="E99" s="33" t="inlineStr">
        <is>
          <t>Main Base</t>
        </is>
      </c>
      <c r="F99" s="33" t="inlineStr">
        <is>
          <t>Lanseria</t>
        </is>
      </c>
    </row>
    <row r="100" ht="28.95" customHeight="1">
      <c r="A100" s="26" t="n">
        <v>91</v>
      </c>
      <c r="B100" s="26" t="n">
        <v>849</v>
      </c>
      <c r="C100" s="37" t="inlineStr">
        <is>
          <t>Vector Aerospace Engine Services Atlantic</t>
        </is>
      </c>
      <c r="D100" s="37" t="inlineStr">
        <is>
          <t>D &amp; SPECIAL PROCESSES</t>
        </is>
      </c>
      <c r="E100" s="37" t="inlineStr">
        <is>
          <t>Main Base</t>
        </is>
      </c>
      <c r="F100" s="37" t="inlineStr">
        <is>
          <t>Canada</t>
        </is>
      </c>
    </row>
    <row r="101" ht="16.5" customHeight="1">
      <c r="A101" s="31" t="n">
        <v>92</v>
      </c>
      <c r="B101" s="31" t="n">
        <v>852</v>
      </c>
      <c r="C101" s="33" t="inlineStr">
        <is>
          <t>Acher Aviation</t>
        </is>
      </c>
      <c r="D101" s="33" t="inlineStr">
        <is>
          <t>B &amp; E</t>
        </is>
      </c>
      <c r="E101" s="33" t="inlineStr">
        <is>
          <t>Main Base</t>
        </is>
      </c>
      <c r="F101" s="33" t="inlineStr">
        <is>
          <t>Durban-Virginia Airport</t>
        </is>
      </c>
    </row>
    <row r="102" ht="16.5" customHeight="1">
      <c r="A102" s="26" t="n">
        <v>93</v>
      </c>
      <c r="B102" s="26" t="n">
        <v>854</v>
      </c>
      <c r="C102" s="37" t="inlineStr">
        <is>
          <t>Ethiopian Airlines</t>
        </is>
      </c>
      <c r="D102" s="37" t="inlineStr">
        <is>
          <t>A, B, C, D, W, X &amp; NDT</t>
        </is>
      </c>
      <c r="E102" s="37" t="inlineStr">
        <is>
          <t>Main Base</t>
        </is>
      </c>
      <c r="F102" s="37" t="inlineStr">
        <is>
          <t>Ethiopian</t>
        </is>
      </c>
    </row>
    <row r="103" ht="33" customHeight="1">
      <c r="A103" s="26" t="n">
        <v>94</v>
      </c>
      <c r="B103" s="26" t="n">
        <v>874</v>
      </c>
      <c r="C103" s="37" t="inlineStr">
        <is>
          <t>Solenta Aviation (Pty) Ltd</t>
        </is>
      </c>
      <c r="D103" s="37" t="inlineStr">
        <is>
          <t>A, B, C, W &amp; X</t>
        </is>
      </c>
      <c r="E103" s="37" t="inlineStr">
        <is>
          <t>Main Base</t>
        </is>
      </c>
      <c r="F103" s="50" t="inlineStr">
        <is>
          <t>Fourways (Office) &amp; O.R.
Tambo (Hangar)</t>
        </is>
      </c>
    </row>
    <row r="104" ht="16.5" customHeight="1">
      <c r="A104" s="26" t="n">
        <v>95</v>
      </c>
      <c r="B104" s="26" t="n">
        <v>875</v>
      </c>
      <c r="C104" s="37" t="inlineStr">
        <is>
          <t>Plane Maintenance Facility CC</t>
        </is>
      </c>
      <c r="D104" s="37" t="inlineStr">
        <is>
          <t>A &amp; C</t>
        </is>
      </c>
      <c r="E104" s="37" t="inlineStr">
        <is>
          <t>Main Base</t>
        </is>
      </c>
      <c r="F104" s="37" t="inlineStr">
        <is>
          <t>Lanseria</t>
        </is>
      </c>
    </row>
    <row r="105" ht="16.5" customHeight="1">
      <c r="A105" s="26" t="n">
        <v>96</v>
      </c>
      <c r="B105" s="26" t="n">
        <v>878</v>
      </c>
      <c r="C105" s="37" t="inlineStr">
        <is>
          <t>Springbok Aviation Services (Pty) Ltd</t>
        </is>
      </c>
      <c r="D105" s="37" t="inlineStr">
        <is>
          <t>A, B, C &amp;  W</t>
        </is>
      </c>
      <c r="E105" s="37" t="inlineStr">
        <is>
          <t>Main Base</t>
        </is>
      </c>
      <c r="F105" s="37" t="inlineStr">
        <is>
          <t>Rand Airport</t>
        </is>
      </c>
    </row>
    <row r="106" ht="33" customHeight="1">
      <c r="A106" s="31" t="n">
        <v>97</v>
      </c>
      <c r="B106" s="31" t="n">
        <v>882</v>
      </c>
      <c r="C106" s="52" t="inlineStr">
        <is>
          <t>Airwork Aviation Maintenance Division (Pty)
Ltd</t>
        </is>
      </c>
      <c r="D106" s="33" t="inlineStr">
        <is>
          <t>A, B,  C,  E,  W &amp; X</t>
        </is>
      </c>
      <c r="E106" s="33" t="inlineStr">
        <is>
          <t>Main Base</t>
        </is>
      </c>
      <c r="F106" s="33" t="inlineStr">
        <is>
          <t>Rand Airport</t>
        </is>
      </c>
    </row>
    <row r="107" ht="33" customHeight="1">
      <c r="A107" s="26" t="n">
        <v>98</v>
      </c>
      <c r="B107" s="26" t="n">
        <v>902</v>
      </c>
      <c r="C107" s="50" t="inlineStr">
        <is>
          <t>Valan Maintenance (Air Million Cargo Charter
(Pty) Ltd</t>
        </is>
      </c>
      <c r="D107" s="37" t="inlineStr">
        <is>
          <t>A, B, C ,D , W &amp; X</t>
        </is>
      </c>
      <c r="E107" s="37" t="inlineStr">
        <is>
          <t>Main Base</t>
        </is>
      </c>
      <c r="F107" s="37" t="inlineStr">
        <is>
          <t>Rand Airport</t>
        </is>
      </c>
    </row>
    <row r="108" ht="16.5" customHeight="1">
      <c r="A108" s="26" t="n">
        <v>99</v>
      </c>
      <c r="B108" s="26" t="n">
        <v>906</v>
      </c>
      <c r="C108" s="37" t="inlineStr">
        <is>
          <t>Skytrim Aircraft Refurbishing CC</t>
        </is>
      </c>
      <c r="D108" s="37" t="inlineStr">
        <is>
          <t>B</t>
        </is>
      </c>
      <c r="E108" s="37" t="inlineStr">
        <is>
          <t>Main Base</t>
        </is>
      </c>
      <c r="F108" s="37" t="inlineStr">
        <is>
          <t>Rand Airport</t>
        </is>
      </c>
    </row>
    <row r="109" ht="16.5" customHeight="1">
      <c r="A109" s="26" t="n">
        <v>100</v>
      </c>
      <c r="B109" s="26" t="n">
        <v>912</v>
      </c>
      <c r="C109" s="37" t="inlineStr">
        <is>
          <t>Southern Mapping Company (Pty) LTD</t>
        </is>
      </c>
      <c r="D109" s="37" t="inlineStr">
        <is>
          <t>A &amp; C</t>
        </is>
      </c>
      <c r="E109" s="37" t="inlineStr">
        <is>
          <t>Main Base</t>
        </is>
      </c>
      <c r="F109" s="37" t="inlineStr">
        <is>
          <t>Grand Central</t>
        </is>
      </c>
    </row>
    <row r="110" ht="16.5" customHeight="1">
      <c r="A110" s="31" t="n">
        <v>101</v>
      </c>
      <c r="B110" s="31" t="n">
        <v>914</v>
      </c>
      <c r="C110" s="33" t="inlineStr">
        <is>
          <t>Breytech Aviation cc</t>
        </is>
      </c>
      <c r="D110" s="33" t="inlineStr">
        <is>
          <t>A,B,C,D, E &amp; ,X</t>
        </is>
      </c>
      <c r="E110" s="33" t="inlineStr">
        <is>
          <t>Main Base</t>
        </is>
      </c>
      <c r="F110" s="33" t="inlineStr">
        <is>
          <t>Wonderboom</t>
        </is>
      </c>
    </row>
    <row r="111" ht="48" customHeight="1">
      <c r="A111" s="31" t="n">
        <v>102</v>
      </c>
      <c r="B111" s="31" t="n">
        <v>924</v>
      </c>
      <c r="C111" s="52" t="inlineStr">
        <is>
          <t>Advanced Technologies &amp;
Engineering(PTY)Ltd t/a Paramount Aerospace Systemes</t>
        </is>
      </c>
      <c r="D111" s="33" t="inlineStr">
        <is>
          <t>B, E &amp; W</t>
        </is>
      </c>
      <c r="E111" s="33" t="inlineStr">
        <is>
          <t>Main Base</t>
        </is>
      </c>
      <c r="F111" s="33" t="inlineStr">
        <is>
          <t>Midrand</t>
        </is>
      </c>
    </row>
    <row r="112" ht="16.5" customHeight="1">
      <c r="A112" s="31" t="n">
        <v>103</v>
      </c>
      <c r="B112" s="31" t="n">
        <v>927</v>
      </c>
      <c r="C112" s="33" t="inlineStr">
        <is>
          <t>Starlite Maintenance</t>
        </is>
      </c>
      <c r="D112" s="33" t="inlineStr">
        <is>
          <t>E , W &amp; X</t>
        </is>
      </c>
      <c r="E112" s="33" t="inlineStr">
        <is>
          <t>Main Base</t>
        </is>
      </c>
      <c r="F112" s="33" t="inlineStr">
        <is>
          <t>Kliprivier</t>
        </is>
      </c>
    </row>
    <row r="113" ht="16.5" customHeight="1">
      <c r="A113" s="26" t="n">
        <v>104</v>
      </c>
      <c r="B113" s="26" t="n">
        <v>947</v>
      </c>
      <c r="C113" s="37" t="inlineStr">
        <is>
          <t>FJ Turbine</t>
        </is>
      </c>
      <c r="D113" s="37" t="inlineStr">
        <is>
          <t>C, D &amp; NDT</t>
        </is>
      </c>
      <c r="E113" s="37" t="inlineStr">
        <is>
          <t>Main Base</t>
        </is>
      </c>
      <c r="F113" s="37" t="inlineStr">
        <is>
          <t>USA</t>
        </is>
      </c>
    </row>
    <row r="114" ht="28.95" customHeight="1">
      <c r="A114" s="26" t="n">
        <v>105</v>
      </c>
      <c r="B114" s="26" t="n">
        <v>956</v>
      </c>
      <c r="C114" s="37" t="inlineStr">
        <is>
          <t>Aircraft Maintenance Personnel (Pty) Ltd</t>
        </is>
      </c>
      <c r="D114" s="37" t="inlineStr">
        <is>
          <t>B &amp; X5</t>
        </is>
      </c>
      <c r="E114" s="37" t="inlineStr">
        <is>
          <t>Main Base</t>
        </is>
      </c>
      <c r="F114" s="37" t="inlineStr">
        <is>
          <t>Wonderboom</t>
        </is>
      </c>
    </row>
    <row r="115" ht="16.5" customHeight="1">
      <c r="A115" s="31" t="n">
        <v>106</v>
      </c>
      <c r="B115" s="31" t="n">
        <v>966</v>
      </c>
      <c r="C115" s="33" t="inlineStr">
        <is>
          <t>Hover Dynamics CC</t>
        </is>
      </c>
      <c r="D115" s="33" t="inlineStr">
        <is>
          <t>E</t>
        </is>
      </c>
      <c r="E115" s="33" t="inlineStr">
        <is>
          <t>Main Base</t>
        </is>
      </c>
      <c r="F115" s="33" t="inlineStr">
        <is>
          <t>Nelspruit</t>
        </is>
      </c>
    </row>
    <row r="116" ht="36" customHeight="1">
      <c r="A116" s="26" t="n">
        <v>107</v>
      </c>
      <c r="B116" s="26" t="n">
        <v>974</v>
      </c>
      <c r="C116" s="39" t="inlineStr">
        <is>
          <t>Namibia Instruments &amp; Avionic Sales and Repairs CC</t>
        </is>
      </c>
      <c r="D116" s="37" t="inlineStr">
        <is>
          <t>W &amp; X</t>
        </is>
      </c>
      <c r="E116" s="37" t="inlineStr">
        <is>
          <t>Main Base</t>
        </is>
      </c>
      <c r="F116" s="37" t="inlineStr">
        <is>
          <t>Namibia</t>
        </is>
      </c>
    </row>
    <row r="117" ht="16.5" customHeight="1">
      <c r="A117" s="26" t="n">
        <v>108</v>
      </c>
      <c r="B117" s="26" t="n">
        <v>976</v>
      </c>
      <c r="C117" s="37" t="inlineStr">
        <is>
          <t>Sahel Aviation Services</t>
        </is>
      </c>
      <c r="D117" s="37" t="inlineStr">
        <is>
          <t>A, C &amp; W</t>
        </is>
      </c>
      <c r="E117" s="37" t="inlineStr">
        <is>
          <t>Main Base</t>
        </is>
      </c>
      <c r="F117" s="37" t="inlineStr">
        <is>
          <t>Mali, Bamako</t>
        </is>
      </c>
    </row>
    <row r="118" ht="16.5" customHeight="1">
      <c r="A118" s="26" t="n">
        <v>109</v>
      </c>
      <c r="B118" s="26" t="n">
        <v>991</v>
      </c>
      <c r="C118" s="37" t="inlineStr">
        <is>
          <t>Just Quickly Aircraft Structures CC</t>
        </is>
      </c>
      <c r="D118" s="37" t="inlineStr">
        <is>
          <t>B</t>
        </is>
      </c>
      <c r="E118" s="37" t="inlineStr">
        <is>
          <t>Main Base</t>
        </is>
      </c>
      <c r="F118" s="37" t="inlineStr">
        <is>
          <t>Lanseria</t>
        </is>
      </c>
    </row>
    <row r="119" ht="28.95" customHeight="1">
      <c r="A119" s="26" t="n">
        <v>110</v>
      </c>
      <c r="B119" s="26" t="n">
        <v>995</v>
      </c>
      <c r="C119" s="37" t="inlineStr">
        <is>
          <t>KLM Royal Dutch Airline Netherlands</t>
        </is>
      </c>
      <c r="D119" s="37" t="inlineStr">
        <is>
          <t>A, B, C, D, W, X &amp; SPECIAL PROCESSES</t>
        </is>
      </c>
      <c r="E119" s="37" t="inlineStr">
        <is>
          <t>Main Base</t>
        </is>
      </c>
      <c r="F119" s="37" t="inlineStr">
        <is>
          <t>Netherlands, Amsterdam</t>
        </is>
      </c>
    </row>
    <row r="120" ht="16.5" customHeight="1">
      <c r="A120" s="26" t="n">
        <v>111</v>
      </c>
      <c r="B120" s="26" t="n">
        <v>1000</v>
      </c>
      <c r="C120" s="37" t="inlineStr">
        <is>
          <t>BHAKARI AVIATION SERVICES</t>
        </is>
      </c>
      <c r="D120" s="37" t="inlineStr">
        <is>
          <t>A, B, C</t>
        </is>
      </c>
      <c r="E120" s="37" t="inlineStr">
        <is>
          <t>Main Base</t>
        </is>
      </c>
      <c r="F120" s="37" t="inlineStr">
        <is>
          <t>Lanseria</t>
        </is>
      </c>
    </row>
    <row r="121" ht="16.5" customHeight="1">
      <c r="A121" s="26" t="n">
        <v>112</v>
      </c>
      <c r="B121" s="26" t="n">
        <v>1003</v>
      </c>
      <c r="C121" s="37" t="inlineStr">
        <is>
          <t>Gemair CC</t>
        </is>
      </c>
      <c r="D121" s="37" t="inlineStr">
        <is>
          <t>A, C &amp; W</t>
        </is>
      </c>
      <c r="E121" s="37" t="inlineStr">
        <is>
          <t>Main Base</t>
        </is>
      </c>
      <c r="F121" s="37" t="inlineStr">
        <is>
          <t>Lanseria</t>
        </is>
      </c>
    </row>
    <row r="122" ht="16.5" customHeight="1">
      <c r="A122" s="26" t="n">
        <v>113</v>
      </c>
      <c r="B122" s="26" t="n">
        <v>1010</v>
      </c>
      <c r="C122" s="37" t="inlineStr">
        <is>
          <t>AME Aviation</t>
        </is>
      </c>
      <c r="D122" s="37" t="inlineStr">
        <is>
          <t>W &amp; X</t>
        </is>
      </c>
      <c r="E122" s="37" t="inlineStr">
        <is>
          <t>Main Base</t>
        </is>
      </c>
      <c r="F122" s="37" t="inlineStr">
        <is>
          <t>Wonderboom</t>
        </is>
      </c>
    </row>
    <row r="123" ht="16.5" customHeight="1">
      <c r="A123" s="26" t="n">
        <v>114</v>
      </c>
      <c r="B123" s="26" t="n">
        <v>1011</v>
      </c>
      <c r="C123" s="37" t="inlineStr">
        <is>
          <t>Aero Electrical Solutions</t>
        </is>
      </c>
      <c r="D123" s="37" t="inlineStr">
        <is>
          <t>W &amp; X</t>
        </is>
      </c>
      <c r="E123" s="37" t="inlineStr">
        <is>
          <t>Main Base</t>
        </is>
      </c>
      <c r="F123" s="37" t="inlineStr">
        <is>
          <t>Lanseria</t>
        </is>
      </c>
    </row>
    <row r="124" ht="16.5" customHeight="1">
      <c r="A124" s="26" t="n">
        <v>115</v>
      </c>
      <c r="B124" s="26" t="n">
        <v>1033</v>
      </c>
      <c r="C124" s="37" t="inlineStr">
        <is>
          <t>Aeronautical Aviation</t>
        </is>
      </c>
      <c r="D124" s="37" t="inlineStr">
        <is>
          <t>X &amp; W</t>
        </is>
      </c>
      <c r="E124" s="37" t="inlineStr">
        <is>
          <t>Main Base</t>
        </is>
      </c>
      <c r="F124" s="37" t="inlineStr">
        <is>
          <t>Lanseria</t>
        </is>
      </c>
    </row>
    <row r="125" ht="16.5" customHeight="1">
      <c r="A125" s="31" t="n">
        <v>116</v>
      </c>
      <c r="B125" s="31" t="n">
        <v>1037</v>
      </c>
      <c r="C125" s="33" t="inlineStr">
        <is>
          <t>SAPS AIRWING</t>
        </is>
      </c>
      <c r="D125" s="33" t="inlineStr">
        <is>
          <t>A, C, E &amp; W</t>
        </is>
      </c>
      <c r="E125" s="33" t="inlineStr">
        <is>
          <t>Main Base</t>
        </is>
      </c>
      <c r="F125" s="33" t="inlineStr">
        <is>
          <t>Pretoria West</t>
        </is>
      </c>
    </row>
    <row r="126" ht="16.5" customHeight="1">
      <c r="A126" s="26" t="n">
        <v>117</v>
      </c>
      <c r="B126" s="26" t="n">
        <v>1041</v>
      </c>
      <c r="C126" s="37" t="inlineStr">
        <is>
          <t>CEMAIR (PTY) LTD</t>
        </is>
      </c>
      <c r="D126" s="37" t="inlineStr">
        <is>
          <t>A, C, &amp; W</t>
        </is>
      </c>
      <c r="E126" s="37" t="inlineStr">
        <is>
          <t>Main Base</t>
        </is>
      </c>
      <c r="F126" s="37" t="inlineStr">
        <is>
          <t>Bonaero Park</t>
        </is>
      </c>
    </row>
    <row r="127" ht="16.5" customHeight="1">
      <c r="A127" s="26" t="n">
        <v>118</v>
      </c>
      <c r="B127" s="26" t="n">
        <v>1058</v>
      </c>
      <c r="C127" s="37" t="inlineStr">
        <is>
          <t>Plerosis Aviation Technologies</t>
        </is>
      </c>
      <c r="D127" s="37" t="inlineStr">
        <is>
          <t>B</t>
        </is>
      </c>
      <c r="E127" s="37" t="inlineStr">
        <is>
          <t>Main Base</t>
        </is>
      </c>
      <c r="F127" s="37" t="inlineStr">
        <is>
          <t>Jet Park, Boksburg</t>
        </is>
      </c>
    </row>
    <row r="128" ht="18" customHeight="1">
      <c r="A128" s="26" t="n">
        <v>119</v>
      </c>
      <c r="B128" s="26" t="n">
        <v>1068</v>
      </c>
      <c r="C128" s="37" t="inlineStr">
        <is>
          <t>Mercy Air SA</t>
        </is>
      </c>
      <c r="D128" s="37" t="inlineStr">
        <is>
          <t>A &amp; C</t>
        </is>
      </c>
      <c r="E128" s="37" t="inlineStr">
        <is>
          <t>Main Base</t>
        </is>
      </c>
      <c r="F128" s="37" t="inlineStr">
        <is>
          <t>White River, Mpumalanga</t>
        </is>
      </c>
    </row>
    <row r="129" ht="16.5" customHeight="1">
      <c r="A129" s="26" t="n">
        <v>120</v>
      </c>
      <c r="B129" s="26" t="n">
        <v>1069</v>
      </c>
      <c r="C129" s="37" t="inlineStr">
        <is>
          <t>Aircraft Maintenance @ work</t>
        </is>
      </c>
      <c r="D129" s="37" t="inlineStr">
        <is>
          <t>A &amp; C</t>
        </is>
      </c>
      <c r="E129" s="37" t="inlineStr">
        <is>
          <t>Main Base</t>
        </is>
      </c>
      <c r="F129" s="37" t="inlineStr">
        <is>
          <t>Wonderboom</t>
        </is>
      </c>
    </row>
    <row r="130" ht="16.5" customHeight="1">
      <c r="A130" s="26" t="n">
        <v>121</v>
      </c>
      <c r="B130" s="26" t="n">
        <v>1072</v>
      </c>
      <c r="C130" s="37" t="inlineStr">
        <is>
          <t>Standard Aero LTD</t>
        </is>
      </c>
      <c r="D130" s="37" t="inlineStr">
        <is>
          <t>C, D, X  &amp; SPECIAL PROCESSES</t>
        </is>
      </c>
      <c r="E130" s="37" t="inlineStr">
        <is>
          <t>Main Base</t>
        </is>
      </c>
      <c r="F130" s="37" t="inlineStr">
        <is>
          <t>Canada - Winnipeg</t>
        </is>
      </c>
    </row>
    <row r="131" ht="16.5" customHeight="1">
      <c r="A131" s="26" t="n">
        <v>122</v>
      </c>
      <c r="B131" s="26" t="n">
        <v>1073</v>
      </c>
      <c r="C131" s="37" t="inlineStr">
        <is>
          <t>Pilatus PC-12 Centre</t>
        </is>
      </c>
      <c r="D131" s="37" t="inlineStr">
        <is>
          <t>A, B &amp; C</t>
        </is>
      </c>
      <c r="E131" s="37" t="inlineStr">
        <is>
          <t>Main Base</t>
        </is>
      </c>
      <c r="F131" s="37" t="inlineStr">
        <is>
          <t>Rand Airport</t>
        </is>
      </c>
    </row>
    <row r="132" ht="16.5" customHeight="1">
      <c r="A132" s="26" t="n">
        <v>123</v>
      </c>
      <c r="B132" s="26" t="n">
        <v>1083</v>
      </c>
      <c r="C132" s="37" t="inlineStr">
        <is>
          <t>Springbok Airsprayer</t>
        </is>
      </c>
      <c r="D132" s="37" t="inlineStr">
        <is>
          <t>A, B &amp; C</t>
        </is>
      </c>
      <c r="E132" s="37" t="inlineStr">
        <is>
          <t>Main Base</t>
        </is>
      </c>
      <c r="F132" s="37" t="inlineStr">
        <is>
          <t>Reitz, Free State</t>
        </is>
      </c>
    </row>
    <row r="133" ht="16.5" customHeight="1">
      <c r="A133" s="31" t="n">
        <v>124</v>
      </c>
      <c r="B133" s="31" t="n">
        <v>1086</v>
      </c>
      <c r="C133" s="33" t="inlineStr">
        <is>
          <t>Aeronautic Solutions (Pty) Ltd</t>
        </is>
      </c>
      <c r="D133" s="33" t="inlineStr">
        <is>
          <t>E</t>
        </is>
      </c>
      <c r="E133" s="33" t="inlineStr">
        <is>
          <t>Main Base</t>
        </is>
      </c>
      <c r="F133" s="33" t="inlineStr">
        <is>
          <t>Grand Central</t>
        </is>
      </c>
    </row>
    <row r="134" ht="16.5" customHeight="1">
      <c r="A134" s="26" t="n">
        <v>125</v>
      </c>
      <c r="B134" s="26" t="n">
        <v>1089</v>
      </c>
      <c r="C134" s="37" t="inlineStr">
        <is>
          <t>Avisys Aviation System</t>
        </is>
      </c>
      <c r="D134" s="37" t="inlineStr">
        <is>
          <t>B</t>
        </is>
      </c>
      <c r="E134" s="37" t="inlineStr">
        <is>
          <t>Main Base</t>
        </is>
      </c>
      <c r="F134" s="37" t="inlineStr">
        <is>
          <t>Wonderboom</t>
        </is>
      </c>
    </row>
    <row r="135" ht="16.5" customHeight="1">
      <c r="A135" s="26" t="n">
        <v>126</v>
      </c>
      <c r="B135" s="26" t="n">
        <v>1094</v>
      </c>
      <c r="C135" s="37" t="inlineStr">
        <is>
          <t>N3 Engine Overhaul services</t>
        </is>
      </c>
      <c r="D135" s="37" t="inlineStr">
        <is>
          <t>D , X, NDT &amp; SPECIAL PROCESSES</t>
        </is>
      </c>
      <c r="E135" s="37" t="inlineStr">
        <is>
          <t>Main Base</t>
        </is>
      </c>
      <c r="F135" s="37" t="inlineStr">
        <is>
          <t>Germany</t>
        </is>
      </c>
    </row>
    <row r="136" ht="16.5" customHeight="1">
      <c r="A136" s="31" t="n">
        <v>127</v>
      </c>
      <c r="B136" s="31" t="n">
        <v>1095</v>
      </c>
      <c r="C136" s="33" t="inlineStr">
        <is>
          <t>Warbird Aircraft Services CC</t>
        </is>
      </c>
      <c r="D136" s="33" t="inlineStr">
        <is>
          <t>A, B, C, E ,W &amp; X</t>
        </is>
      </c>
      <c r="E136" s="33" t="inlineStr">
        <is>
          <t>Main Base</t>
        </is>
      </c>
      <c r="F136" s="33" t="inlineStr">
        <is>
          <t>Wonderboom</t>
        </is>
      </c>
    </row>
    <row r="137" ht="16.5" customHeight="1">
      <c r="A137" s="31" t="n">
        <v>128</v>
      </c>
      <c r="B137" s="31" t="n">
        <v>1116</v>
      </c>
      <c r="C137" s="33" t="inlineStr">
        <is>
          <t>FFA  Aviation</t>
        </is>
      </c>
      <c r="D137" s="33" t="inlineStr">
        <is>
          <t>A, B, C, E, W &amp; X5</t>
        </is>
      </c>
      <c r="E137" s="33" t="inlineStr">
        <is>
          <t>Main Base</t>
        </is>
      </c>
      <c r="F137" s="33" t="inlineStr">
        <is>
          <t>Nelspruit</t>
        </is>
      </c>
    </row>
    <row r="138" ht="21" customHeight="1">
      <c r="A138" s="26" t="n">
        <v>129</v>
      </c>
      <c r="B138" s="26" t="n">
        <v>1118</v>
      </c>
      <c r="C138" s="37" t="inlineStr">
        <is>
          <t>SR Technics Switzerland</t>
        </is>
      </c>
      <c r="D138" s="37" t="inlineStr">
        <is>
          <t>B, C, D, X, NDT &amp; SPECIAL PROCESSES</t>
        </is>
      </c>
      <c r="E138" s="37" t="inlineStr">
        <is>
          <t>Main Base</t>
        </is>
      </c>
      <c r="F138" s="37" t="inlineStr">
        <is>
          <t>Switzerland - Zurich</t>
        </is>
      </c>
    </row>
    <row r="139" ht="16.5" customHeight="1">
      <c r="A139" s="26" t="n">
        <v>130</v>
      </c>
      <c r="B139" s="26" t="n">
        <v>1129</v>
      </c>
      <c r="C139" s="37" t="inlineStr">
        <is>
          <t>Gryphen Aerospace (Pty) Ltd</t>
        </is>
      </c>
      <c r="D139" s="37" t="inlineStr">
        <is>
          <t>A, B, C , W &amp; X</t>
        </is>
      </c>
      <c r="E139" s="37" t="inlineStr">
        <is>
          <t>Main Base</t>
        </is>
      </c>
      <c r="F139" s="37" t="inlineStr">
        <is>
          <t>Lanseria</t>
        </is>
      </c>
    </row>
    <row r="140" ht="16.5" customHeight="1">
      <c r="A140" s="26" t="n">
        <v>131</v>
      </c>
      <c r="B140" s="26" t="n">
        <v>1134</v>
      </c>
      <c r="C140" s="37" t="inlineStr">
        <is>
          <t>Air-Tec Aviation Maintenance (Pty) Ltd</t>
        </is>
      </c>
      <c r="D140" s="37" t="inlineStr">
        <is>
          <t>A, B, C &amp; W</t>
        </is>
      </c>
      <c r="E140" s="37" t="inlineStr">
        <is>
          <t>Main Base</t>
        </is>
      </c>
      <c r="F140" s="37" t="inlineStr">
        <is>
          <t>Bethlehem</t>
        </is>
      </c>
    </row>
    <row r="141" ht="33" customHeight="1">
      <c r="A141" s="26" t="n">
        <v>132</v>
      </c>
      <c r="B141" s="26" t="n">
        <v>1135</v>
      </c>
      <c r="C141" s="50" t="inlineStr">
        <is>
          <t>Aspire Aviation (Former name Lanseria Jet
Centre)</t>
        </is>
      </c>
      <c r="D141" s="37" t="inlineStr">
        <is>
          <t>A, C &amp; W</t>
        </is>
      </c>
      <c r="E141" s="37" t="inlineStr">
        <is>
          <t>Main Base</t>
        </is>
      </c>
      <c r="F141" s="37" t="inlineStr">
        <is>
          <t>Lanseria</t>
        </is>
      </c>
    </row>
    <row r="142" ht="16.5" customHeight="1">
      <c r="A142" s="26" t="n">
        <v>133</v>
      </c>
      <c r="B142" s="26" t="n">
        <v>1137</v>
      </c>
      <c r="C142" s="37" t="inlineStr">
        <is>
          <t>Star Air Maintenance</t>
        </is>
      </c>
      <c r="D142" s="37" t="inlineStr">
        <is>
          <t>A, C &amp; W</t>
        </is>
      </c>
      <c r="E142" s="37" t="inlineStr">
        <is>
          <t>Main Base</t>
        </is>
      </c>
      <c r="F142" s="37" t="inlineStr">
        <is>
          <t>Bonaero Park -Denel</t>
        </is>
      </c>
    </row>
    <row r="143" ht="16.5" customHeight="1">
      <c r="A143" s="26" t="n">
        <v>134</v>
      </c>
      <c r="B143" s="26" t="n">
        <v>1148</v>
      </c>
      <c r="C143" s="37" t="inlineStr">
        <is>
          <t>208 Aviation CC</t>
        </is>
      </c>
      <c r="D143" s="37" t="inlineStr">
        <is>
          <t>A &amp; C</t>
        </is>
      </c>
      <c r="E143" s="37" t="inlineStr">
        <is>
          <t>Main Base</t>
        </is>
      </c>
      <c r="F143" s="37" t="inlineStr">
        <is>
          <t>Wonderboom</t>
        </is>
      </c>
    </row>
    <row r="144" ht="16.5" customHeight="1">
      <c r="A144" s="26" t="n">
        <v>135</v>
      </c>
      <c r="B144" s="26" t="n">
        <v>1150</v>
      </c>
      <c r="C144" s="37" t="inlineStr">
        <is>
          <t>Dynamic Propellers</t>
        </is>
      </c>
      <c r="D144" s="37" t="inlineStr">
        <is>
          <t>C, X &amp; NDT</t>
        </is>
      </c>
      <c r="E144" s="37" t="inlineStr">
        <is>
          <t>Main Base</t>
        </is>
      </c>
      <c r="F144" s="37" t="inlineStr">
        <is>
          <t>Rand Airport</t>
        </is>
      </c>
    </row>
    <row r="145" ht="16.5" customHeight="1">
      <c r="A145" s="26" t="n">
        <v>136</v>
      </c>
      <c r="B145" s="26" t="n">
        <v>1158</v>
      </c>
      <c r="C145" s="36" t="inlineStr">
        <is>
          <t>J. P. Le Roux Repairs</t>
        </is>
      </c>
      <c r="D145" s="37" t="inlineStr">
        <is>
          <t>B &amp; X</t>
        </is>
      </c>
      <c r="E145" s="37" t="inlineStr">
        <is>
          <t>Main Base</t>
        </is>
      </c>
      <c r="F145" s="37" t="inlineStr">
        <is>
          <t>Pomona</t>
        </is>
      </c>
    </row>
    <row r="146" ht="16.5" customHeight="1">
      <c r="A146" s="26" t="n">
        <v>137</v>
      </c>
      <c r="B146" s="26" t="n">
        <v>1161</v>
      </c>
      <c r="C146" s="37" t="inlineStr">
        <is>
          <t>Tynay Aviation</t>
        </is>
      </c>
      <c r="D146" s="37" t="inlineStr">
        <is>
          <t>A, B, C &amp; W</t>
        </is>
      </c>
      <c r="E146" s="37" t="inlineStr">
        <is>
          <t>Main Base</t>
        </is>
      </c>
      <c r="F146" s="37" t="inlineStr">
        <is>
          <t>Lanseria</t>
        </is>
      </c>
    </row>
    <row r="147" ht="16.5" customHeight="1">
      <c r="A147" s="31" t="n">
        <v>138</v>
      </c>
      <c r="B147" s="31" t="n">
        <v>1164</v>
      </c>
      <c r="C147" s="33" t="inlineStr">
        <is>
          <t>Paramount Aerospace Systems</t>
        </is>
      </c>
      <c r="D147" s="33" t="inlineStr">
        <is>
          <t>A, C, E &amp; W</t>
        </is>
      </c>
      <c r="E147" s="33" t="inlineStr">
        <is>
          <t>Main Base</t>
        </is>
      </c>
      <c r="F147" s="33" t="inlineStr">
        <is>
          <t>Wonderboom</t>
        </is>
      </c>
    </row>
    <row r="148" ht="16.5" customHeight="1">
      <c r="A148" s="26" t="n">
        <v>139</v>
      </c>
      <c r="B148" s="26" t="n">
        <v>1165</v>
      </c>
      <c r="C148" s="37" t="inlineStr">
        <is>
          <t>Nevergreen Aircraft Industries</t>
        </is>
      </c>
      <c r="D148" s="37" t="inlineStr">
        <is>
          <t>A, C &amp; W</t>
        </is>
      </c>
      <c r="E148" s="37" t="inlineStr">
        <is>
          <t>Main Base</t>
        </is>
      </c>
      <c r="F148" s="37" t="inlineStr">
        <is>
          <t>Bonaero Park - Safair</t>
        </is>
      </c>
    </row>
    <row r="149" ht="16.5" customHeight="1">
      <c r="A149" s="26" t="n">
        <v>140</v>
      </c>
      <c r="B149" s="26" t="n">
        <v>1166</v>
      </c>
      <c r="C149" s="37" t="inlineStr">
        <is>
          <t>MPT  Maintenance (PTY)LTD</t>
        </is>
      </c>
      <c r="D149" s="37" t="inlineStr">
        <is>
          <t>A, B &amp; C</t>
        </is>
      </c>
      <c r="E149" s="37" t="inlineStr">
        <is>
          <t>Main Base</t>
        </is>
      </c>
      <c r="F149" s="37" t="inlineStr">
        <is>
          <t>Lanseria</t>
        </is>
      </c>
    </row>
    <row r="150" ht="16.5" customHeight="1">
      <c r="A150" s="26" t="n">
        <v>141</v>
      </c>
      <c r="B150" s="26" t="n">
        <v>1171</v>
      </c>
      <c r="C150" s="37" t="inlineStr">
        <is>
          <t>Aeronexus Corporate (PTY) LTD</t>
        </is>
      </c>
      <c r="D150" s="37" t="inlineStr">
        <is>
          <t>A, C &amp; W</t>
        </is>
      </c>
      <c r="E150" s="37" t="inlineStr">
        <is>
          <t>Main Base</t>
        </is>
      </c>
      <c r="F150" s="46" t="inlineStr">
        <is>
          <t>O.R Tambo</t>
        </is>
      </c>
    </row>
    <row r="151" ht="16.5" customHeight="1">
      <c r="A151" s="26" t="n">
        <v>142</v>
      </c>
      <c r="B151" s="26" t="n">
        <v>1179</v>
      </c>
      <c r="C151" s="37" t="inlineStr">
        <is>
          <t>Jonker Sailplanes cc</t>
        </is>
      </c>
      <c r="D151" s="37" t="inlineStr">
        <is>
          <t>A, B &amp; W</t>
        </is>
      </c>
      <c r="E151" s="37" t="inlineStr">
        <is>
          <t>Main Base</t>
        </is>
      </c>
      <c r="F151" s="37" t="inlineStr">
        <is>
          <t>Potchefstroom Airfield</t>
        </is>
      </c>
    </row>
    <row r="152" ht="16.5" customHeight="1">
      <c r="A152" s="26" t="n">
        <v>143</v>
      </c>
      <c r="B152" s="26" t="n">
        <v>1183</v>
      </c>
      <c r="C152" s="37" t="inlineStr">
        <is>
          <t>Sahara African Aviation</t>
        </is>
      </c>
      <c r="D152" s="37" t="inlineStr">
        <is>
          <t>A, C &amp; W</t>
        </is>
      </c>
      <c r="E152" s="37" t="inlineStr">
        <is>
          <t>Main Base</t>
        </is>
      </c>
      <c r="F152" s="37" t="inlineStr">
        <is>
          <t>Nelspruit</t>
        </is>
      </c>
    </row>
    <row r="153" ht="16.5" customHeight="1">
      <c r="A153" s="31" t="n">
        <v>144</v>
      </c>
      <c r="B153" s="31" t="n">
        <v>1184</v>
      </c>
      <c r="C153" s="33" t="inlineStr">
        <is>
          <t>Leading Edge Helicopters cc</t>
        </is>
      </c>
      <c r="D153" s="33" t="inlineStr">
        <is>
          <t>B &amp; E</t>
        </is>
      </c>
      <c r="E153" s="33" t="inlineStr">
        <is>
          <t>Main Base</t>
        </is>
      </c>
      <c r="F153" s="33" t="inlineStr">
        <is>
          <t>Nelspruit</t>
        </is>
      </c>
    </row>
    <row r="154" ht="16.5" customHeight="1">
      <c r="A154" s="26" t="n">
        <v>145</v>
      </c>
      <c r="B154" s="26" t="n">
        <v>1189</v>
      </c>
      <c r="C154" s="37" t="inlineStr">
        <is>
          <t>Sport Plane Builders CC</t>
        </is>
      </c>
      <c r="D154" s="37" t="inlineStr">
        <is>
          <t>A, B, C , W &amp; X</t>
        </is>
      </c>
      <c r="E154" s="37" t="inlineStr">
        <is>
          <t>Main Base</t>
        </is>
      </c>
      <c r="F154" s="37" t="inlineStr">
        <is>
          <t>Wonderboom</t>
        </is>
      </c>
    </row>
    <row r="155" ht="16.5" customHeight="1">
      <c r="A155" s="26" t="n">
        <v>146</v>
      </c>
      <c r="B155" s="26" t="n">
        <v>1192</v>
      </c>
      <c r="C155" s="37" t="inlineStr">
        <is>
          <t>Adventure Air</t>
        </is>
      </c>
      <c r="D155" s="37" t="inlineStr">
        <is>
          <t>B</t>
        </is>
      </c>
      <c r="E155" s="37" t="inlineStr">
        <is>
          <t>Main Base</t>
        </is>
      </c>
      <c r="F155" s="37" t="inlineStr">
        <is>
          <t>Wonderboom</t>
        </is>
      </c>
    </row>
    <row r="156" ht="34.2" customHeight="1">
      <c r="A156" s="26" t="n">
        <v>147</v>
      </c>
      <c r="B156" s="26" t="n">
        <v>1194</v>
      </c>
      <c r="C156" s="50" t="inlineStr">
        <is>
          <t>AEROCORPORATION AVIATION SERVICES
AMO (Pty) Ltd</t>
        </is>
      </c>
      <c r="D156" s="37" t="inlineStr">
        <is>
          <t>A, B &amp; C</t>
        </is>
      </c>
      <c r="E156" s="37" t="inlineStr">
        <is>
          <t>Main Base</t>
        </is>
      </c>
      <c r="F156" s="37" t="inlineStr">
        <is>
          <t>Wonderboom</t>
        </is>
      </c>
    </row>
    <row r="157" ht="16.5" customHeight="1">
      <c r="A157" s="31" t="n">
        <v>148</v>
      </c>
      <c r="B157" s="31" t="n">
        <v>1198</v>
      </c>
      <c r="C157" s="33" t="inlineStr">
        <is>
          <t>Savannah Helicopter Maintenance</t>
        </is>
      </c>
      <c r="D157" s="33" t="inlineStr">
        <is>
          <t>E</t>
        </is>
      </c>
      <c r="E157" s="33" t="inlineStr">
        <is>
          <t>Main Base</t>
        </is>
      </c>
      <c r="F157" s="33" t="inlineStr">
        <is>
          <t>Wonderboom</t>
        </is>
      </c>
    </row>
    <row r="158" ht="16.5" customHeight="1">
      <c r="A158" s="26" t="n">
        <v>149</v>
      </c>
      <c r="B158" s="26" t="n">
        <v>1204</v>
      </c>
      <c r="C158" s="37" t="inlineStr">
        <is>
          <t>Cemys Aircraft Structures Repairs</t>
        </is>
      </c>
      <c r="D158" s="37" t="inlineStr">
        <is>
          <t>B</t>
        </is>
      </c>
      <c r="E158" s="37" t="inlineStr">
        <is>
          <t>Main Base</t>
        </is>
      </c>
      <c r="F158" s="37" t="inlineStr">
        <is>
          <t>Chloorkop</t>
        </is>
      </c>
    </row>
    <row r="159" ht="16.5" customHeight="1">
      <c r="A159" s="26" t="n">
        <v>150</v>
      </c>
      <c r="B159" s="26" t="n">
        <v>1205</v>
      </c>
      <c r="C159" s="46" t="inlineStr">
        <is>
          <t>M.S. SPECIALISED WELDING</t>
        </is>
      </c>
      <c r="D159" s="37" t="inlineStr">
        <is>
          <t>X5</t>
        </is>
      </c>
      <c r="E159" s="37" t="inlineStr">
        <is>
          <t>Main Base</t>
        </is>
      </c>
      <c r="F159" s="37" t="inlineStr">
        <is>
          <t>Kempton Park</t>
        </is>
      </c>
    </row>
    <row r="160" ht="16.5" customHeight="1">
      <c r="A160" s="26" t="n">
        <v>151</v>
      </c>
      <c r="B160" s="26" t="n">
        <v>1207</v>
      </c>
      <c r="C160" s="37" t="inlineStr">
        <is>
          <t>Clack Air CC</t>
        </is>
      </c>
      <c r="D160" s="37" t="inlineStr">
        <is>
          <t>C &amp; D</t>
        </is>
      </c>
      <c r="E160" s="37" t="inlineStr">
        <is>
          <t>Main Base</t>
        </is>
      </c>
      <c r="F160" s="37" t="inlineStr">
        <is>
          <t>Springs Airfield</t>
        </is>
      </c>
    </row>
    <row r="161" ht="16.5" customHeight="1">
      <c r="A161" s="26" t="n">
        <v>152</v>
      </c>
      <c r="B161" s="26" t="n">
        <v>1208</v>
      </c>
      <c r="C161" s="37" t="inlineStr">
        <is>
          <t>Avtech Aircraft Services CC</t>
        </is>
      </c>
      <c r="D161" s="37" t="inlineStr">
        <is>
          <t>A, B,  C , D &amp; SPRAY PAINTING</t>
        </is>
      </c>
      <c r="E161" s="37" t="inlineStr">
        <is>
          <t>Main Base</t>
        </is>
      </c>
      <c r="F161" s="37" t="inlineStr">
        <is>
          <t>Wonderboom</t>
        </is>
      </c>
    </row>
    <row r="162" ht="16.5" customHeight="1">
      <c r="A162" s="31" t="n">
        <v>153</v>
      </c>
      <c r="B162" s="31" t="n">
        <v>1210</v>
      </c>
      <c r="C162" s="33" t="inlineStr">
        <is>
          <t>Superior Rotorworx (PTY)Ltd</t>
        </is>
      </c>
      <c r="D162" s="33" t="inlineStr">
        <is>
          <t>B &amp; E</t>
        </is>
      </c>
      <c r="E162" s="33" t="inlineStr">
        <is>
          <t>Main Base</t>
        </is>
      </c>
      <c r="F162" s="33" t="inlineStr">
        <is>
          <t>Grand Central</t>
        </is>
      </c>
    </row>
    <row r="163" ht="16.5" customHeight="1">
      <c r="A163" s="26" t="n">
        <v>154</v>
      </c>
      <c r="B163" s="26" t="n">
        <v>1211</v>
      </c>
      <c r="C163" s="37" t="inlineStr">
        <is>
          <t>MTU Maintenance Hannover GmbH</t>
        </is>
      </c>
      <c r="D163" s="37" t="inlineStr">
        <is>
          <t>D, X  &amp; SPECIAL PROCESSES</t>
        </is>
      </c>
      <c r="E163" s="37" t="inlineStr">
        <is>
          <t>Main Base</t>
        </is>
      </c>
      <c r="F163" s="37" t="inlineStr">
        <is>
          <t>Germany, Hannover</t>
        </is>
      </c>
    </row>
    <row r="164" ht="16.5" customHeight="1">
      <c r="A164" s="26" t="n">
        <v>155</v>
      </c>
      <c r="B164" s="26" t="n">
        <v>1212</v>
      </c>
      <c r="C164" s="37" t="inlineStr">
        <is>
          <t>Bedshemesh</t>
        </is>
      </c>
      <c r="D164" s="37" t="inlineStr">
        <is>
          <t>C,D,X&amp;NDT</t>
        </is>
      </c>
      <c r="E164" s="37" t="inlineStr">
        <is>
          <t>Main Base</t>
        </is>
      </c>
      <c r="F164" s="37" t="inlineStr">
        <is>
          <t>Israel</t>
        </is>
      </c>
    </row>
    <row r="165" ht="25.2" customHeight="1">
      <c r="A165" s="26" t="n">
        <v>156</v>
      </c>
      <c r="B165" s="26" t="n">
        <v>1215</v>
      </c>
      <c r="C165" s="37" t="inlineStr">
        <is>
          <t>SAFAIR OPERATIONS (PTY) LTD</t>
        </is>
      </c>
      <c r="D165" s="37" t="inlineStr">
        <is>
          <t>A, B, C,X &amp; W</t>
        </is>
      </c>
      <c r="E165" s="37" t="inlineStr">
        <is>
          <t>Main Base</t>
        </is>
      </c>
      <c r="F165" s="37" t="inlineStr">
        <is>
          <t>Boanero Park - Safair</t>
        </is>
      </c>
    </row>
    <row r="166" ht="16.5" customHeight="1">
      <c r="A166" s="26" t="n">
        <v>157</v>
      </c>
      <c r="B166" s="26" t="n">
        <v>1217</v>
      </c>
      <c r="C166" s="37" t="inlineStr">
        <is>
          <t>AIRCRAFT UNLIMITED</t>
        </is>
      </c>
      <c r="D166" s="37" t="inlineStr">
        <is>
          <t>A, B &amp; C</t>
        </is>
      </c>
      <c r="E166" s="37" t="inlineStr">
        <is>
          <t>Main Base</t>
        </is>
      </c>
      <c r="F166" s="37" t="inlineStr">
        <is>
          <t>Rand Airport</t>
        </is>
      </c>
    </row>
    <row r="167" ht="19.2" customHeight="1">
      <c r="A167" s="26" t="n">
        <v>158</v>
      </c>
      <c r="B167" s="26" t="n">
        <v>1223</v>
      </c>
      <c r="C167" s="37" t="inlineStr">
        <is>
          <t>Wingman Aircraft Maintenance (PTY) LTD</t>
        </is>
      </c>
      <c r="D167" s="37" t="inlineStr">
        <is>
          <t>A, B &amp; C</t>
        </is>
      </c>
      <c r="E167" s="37" t="inlineStr">
        <is>
          <t>Main Base</t>
        </is>
      </c>
      <c r="F167" s="37" t="inlineStr">
        <is>
          <t>Grand Central</t>
        </is>
      </c>
    </row>
    <row r="168" ht="16.5" customHeight="1">
      <c r="A168" s="26" t="n">
        <v>159</v>
      </c>
      <c r="B168" s="26" t="n">
        <v>1224</v>
      </c>
      <c r="C168" s="37" t="inlineStr">
        <is>
          <t>Nebraska Gas Turbine Inc</t>
        </is>
      </c>
      <c r="D168" s="37" t="inlineStr">
        <is>
          <t>D</t>
        </is>
      </c>
      <c r="E168" s="37" t="inlineStr">
        <is>
          <t>Main Base</t>
        </is>
      </c>
      <c r="F168" s="37" t="inlineStr">
        <is>
          <t>USA - Omaha</t>
        </is>
      </c>
    </row>
    <row r="169" ht="16.5" customHeight="1">
      <c r="A169" s="26" t="n">
        <v>160</v>
      </c>
      <c r="B169" s="26" t="n">
        <v>1230</v>
      </c>
      <c r="C169" s="37" t="inlineStr">
        <is>
          <t>Zenith Maintenance</t>
        </is>
      </c>
      <c r="D169" s="37" t="inlineStr">
        <is>
          <t>A, B ,C &amp; W</t>
        </is>
      </c>
      <c r="E169" s="37" t="inlineStr">
        <is>
          <t>Main Base</t>
        </is>
      </c>
      <c r="F169" s="37" t="inlineStr">
        <is>
          <t>Lanseria</t>
        </is>
      </c>
    </row>
    <row r="170" ht="16.5" customHeight="1">
      <c r="A170" s="26" t="n">
        <v>161</v>
      </c>
      <c r="B170" s="26" t="n">
        <v>1235</v>
      </c>
      <c r="C170" s="37" t="inlineStr">
        <is>
          <t>Jet Center Aircraft Maintenance</t>
        </is>
      </c>
      <c r="D170" s="37" t="inlineStr">
        <is>
          <t>A, C &amp; W</t>
        </is>
      </c>
      <c r="E170" s="37" t="inlineStr">
        <is>
          <t>Main Base</t>
        </is>
      </c>
      <c r="F170" s="37" t="inlineStr">
        <is>
          <t>OR Tambo- Denel</t>
        </is>
      </c>
    </row>
    <row r="171" ht="16.5" customHeight="1">
      <c r="A171" s="26" t="n">
        <v>162</v>
      </c>
      <c r="B171" s="26" t="n">
        <v>1238</v>
      </c>
      <c r="C171" s="37" t="inlineStr">
        <is>
          <t>Segers Aero Corporation</t>
        </is>
      </c>
      <c r="D171" s="37" t="inlineStr">
        <is>
          <t>A, B, C, D &amp; X</t>
        </is>
      </c>
      <c r="E171" s="37" t="inlineStr">
        <is>
          <t>Main Base</t>
        </is>
      </c>
      <c r="F171" s="37" t="inlineStr">
        <is>
          <t>USA - Fairhope Alabama</t>
        </is>
      </c>
    </row>
    <row r="172" ht="16.5" customHeight="1">
      <c r="A172" s="26" t="n">
        <v>163</v>
      </c>
      <c r="B172" s="26" t="n">
        <v>1242</v>
      </c>
      <c r="C172" s="37" t="inlineStr">
        <is>
          <t>AEROTRIC (Pty)Ltd</t>
        </is>
      </c>
      <c r="D172" s="37" t="inlineStr">
        <is>
          <t>W &amp; X</t>
        </is>
      </c>
      <c r="E172" s="37" t="inlineStr">
        <is>
          <t>Main Base</t>
        </is>
      </c>
      <c r="F172" s="37" t="inlineStr">
        <is>
          <t>Wonderboom</t>
        </is>
      </c>
    </row>
    <row r="173" ht="16.5" customHeight="1">
      <c r="A173" s="26" t="n">
        <v>164</v>
      </c>
      <c r="B173" s="26" t="n">
        <v>1246</v>
      </c>
      <c r="C173" s="37" t="inlineStr">
        <is>
          <t>FLY CDMA (PTY) LTD</t>
        </is>
      </c>
      <c r="D173" s="37" t="inlineStr">
        <is>
          <t>A &amp; C</t>
        </is>
      </c>
      <c r="E173" s="37" t="inlineStr">
        <is>
          <t>Main Base</t>
        </is>
      </c>
      <c r="F173" s="37" t="inlineStr">
        <is>
          <t>Nelspruit</t>
        </is>
      </c>
    </row>
    <row r="174" ht="16.5" customHeight="1">
      <c r="A174" s="26" t="n">
        <v>165</v>
      </c>
      <c r="B174" s="26" t="n">
        <v>1249</v>
      </c>
      <c r="C174" s="37" t="inlineStr">
        <is>
          <t>Cronos Airlines International (Pty) LTD</t>
        </is>
      </c>
      <c r="D174" s="37" t="inlineStr">
        <is>
          <t>A, B, C &amp; W</t>
        </is>
      </c>
      <c r="E174" s="37" t="inlineStr">
        <is>
          <t>Main Base</t>
        </is>
      </c>
      <c r="F174" s="37" t="inlineStr">
        <is>
          <t>O.R.Tambo - Denel</t>
        </is>
      </c>
    </row>
    <row r="175" ht="16.5" customHeight="1">
      <c r="A175" s="53" t="n">
        <v>166</v>
      </c>
      <c r="B175" s="53" t="n">
        <v>1252</v>
      </c>
      <c r="C175" s="54" t="inlineStr">
        <is>
          <t>Geotech Aviation South Africa(PTY) LTD</t>
        </is>
      </c>
      <c r="D175" s="54" t="inlineStr">
        <is>
          <t>A,C &amp; E</t>
        </is>
      </c>
      <c r="E175" s="54" t="inlineStr">
        <is>
          <t>Main Base</t>
        </is>
      </c>
      <c r="F175" s="54" t="inlineStr">
        <is>
          <t>Bapsfontein, Benoni</t>
        </is>
      </c>
    </row>
    <row r="176" ht="16.5" customHeight="1">
      <c r="A176" s="26" t="n">
        <v>167</v>
      </c>
      <c r="B176" s="26" t="n">
        <v>1253</v>
      </c>
      <c r="C176" s="37" t="inlineStr">
        <is>
          <t>Avex Air Technical</t>
        </is>
      </c>
      <c r="D176" s="37" t="inlineStr">
        <is>
          <t>A , B , C , W &amp; X</t>
        </is>
      </c>
      <c r="E176" s="37" t="inlineStr">
        <is>
          <t>Main Base</t>
        </is>
      </c>
      <c r="F176" s="27" t="inlineStr">
        <is>
          <t>O.R Tambo -Denel</t>
        </is>
      </c>
    </row>
    <row r="177" ht="16.5" customHeight="1">
      <c r="A177" s="26" t="n">
        <v>168</v>
      </c>
      <c r="B177" s="26" t="n">
        <v>1255</v>
      </c>
      <c r="C177" s="37" t="inlineStr">
        <is>
          <t>Leading Edge Maintenance</t>
        </is>
      </c>
      <c r="D177" s="37" t="inlineStr">
        <is>
          <t>A &amp; C</t>
        </is>
      </c>
      <c r="E177" s="37" t="inlineStr">
        <is>
          <t>Main Base</t>
        </is>
      </c>
      <c r="F177" s="37" t="inlineStr">
        <is>
          <t>Hoedspruit Airport</t>
        </is>
      </c>
    </row>
    <row r="178" ht="16.5" customHeight="1">
      <c r="A178" s="26" t="n">
        <v>169</v>
      </c>
      <c r="B178" s="26" t="n">
        <v>1264</v>
      </c>
      <c r="C178" s="37" t="inlineStr">
        <is>
          <t>The Airplane Factory(PTY)</t>
        </is>
      </c>
      <c r="D178" s="37" t="inlineStr">
        <is>
          <t>A, B, C, W &amp; X</t>
        </is>
      </c>
      <c r="E178" s="37" t="inlineStr">
        <is>
          <t>Main Base</t>
        </is>
      </c>
      <c r="F178" s="37" t="inlineStr">
        <is>
          <t>Johannesburg, Eikenhof</t>
        </is>
      </c>
    </row>
    <row r="179" ht="16.5" customHeight="1">
      <c r="A179" s="55" t="n">
        <v>170</v>
      </c>
      <c r="B179" s="55" t="n">
        <v>1265</v>
      </c>
      <c r="C179" s="56" t="inlineStr">
        <is>
          <t>MCC Aviation(PTY) Ltd</t>
        </is>
      </c>
      <c r="D179" s="56" t="inlineStr">
        <is>
          <t>A, B, C, E &amp; W</t>
        </is>
      </c>
      <c r="E179" s="56" t="inlineStr">
        <is>
          <t>Main Base</t>
        </is>
      </c>
      <c r="F179" s="56" t="inlineStr">
        <is>
          <t>Lanseria</t>
        </is>
      </c>
    </row>
    <row r="180" ht="16.5" customHeight="1">
      <c r="A180" s="55" t="n">
        <v>171</v>
      </c>
      <c r="B180" s="55" t="n">
        <v>1266</v>
      </c>
      <c r="C180" s="56" t="inlineStr">
        <is>
          <t>Emperor Aviation Pty(Ltd)</t>
        </is>
      </c>
      <c r="D180" s="56" t="inlineStr">
        <is>
          <t>E</t>
        </is>
      </c>
      <c r="E180" s="56" t="inlineStr">
        <is>
          <t>Main Base</t>
        </is>
      </c>
      <c r="F180" s="56" t="inlineStr">
        <is>
          <t>Rand Airport</t>
        </is>
      </c>
    </row>
    <row r="181" ht="16.5" customHeight="1">
      <c r="A181" s="55" t="n">
        <v>172</v>
      </c>
      <c r="B181" s="55" t="n">
        <v>1268</v>
      </c>
      <c r="C181" s="56" t="inlineStr">
        <is>
          <t>Lady Lori Kenya Limited</t>
        </is>
      </c>
      <c r="D181" s="56" t="inlineStr">
        <is>
          <t>E</t>
        </is>
      </c>
      <c r="E181" s="56" t="inlineStr">
        <is>
          <t>Main Base</t>
        </is>
      </c>
      <c r="F181" s="56" t="inlineStr">
        <is>
          <t>Kenya, Nairobi</t>
        </is>
      </c>
    </row>
    <row r="182" ht="16.5" customHeight="1">
      <c r="A182" s="55" t="n">
        <v>173</v>
      </c>
      <c r="B182" s="55" t="n">
        <v>1270</v>
      </c>
      <c r="C182" s="56" t="inlineStr">
        <is>
          <t>Ultimate Aviation Technical Pty Ltd</t>
        </is>
      </c>
      <c r="D182" s="56" t="inlineStr">
        <is>
          <t>A,C,E &amp; W</t>
        </is>
      </c>
      <c r="E182" s="56" t="inlineStr">
        <is>
          <t>Main Base</t>
        </is>
      </c>
      <c r="F182" s="56" t="inlineStr">
        <is>
          <t>Midrand, Waterfall</t>
        </is>
      </c>
    </row>
    <row r="183" ht="16.5" customHeight="1">
      <c r="A183" s="26" t="n">
        <v>174</v>
      </c>
      <c r="B183" s="26" t="n">
        <v>1271</v>
      </c>
      <c r="C183" s="37" t="inlineStr">
        <is>
          <t>TNM Aviation cc</t>
        </is>
      </c>
      <c r="D183" s="37" t="inlineStr">
        <is>
          <t>B</t>
        </is>
      </c>
      <c r="E183" s="37" t="inlineStr">
        <is>
          <t>Main Base</t>
        </is>
      </c>
      <c r="F183" s="37" t="inlineStr">
        <is>
          <t>Lanseria</t>
        </is>
      </c>
    </row>
    <row r="184" ht="16.5" customHeight="1">
      <c r="A184" s="55" t="n">
        <v>175</v>
      </c>
      <c r="B184" s="55" t="n">
        <v>1280</v>
      </c>
      <c r="C184" s="56" t="inlineStr">
        <is>
          <t>PWR Aircraft Maintenance International</t>
        </is>
      </c>
      <c r="D184" s="56" t="inlineStr">
        <is>
          <t>A, B, C , D , E &amp; X</t>
        </is>
      </c>
      <c r="E184" s="56" t="inlineStr">
        <is>
          <t>Main Base</t>
        </is>
      </c>
      <c r="F184" s="56" t="inlineStr">
        <is>
          <t>Nelspruit</t>
        </is>
      </c>
    </row>
    <row r="185" ht="33" customHeight="1">
      <c r="A185" s="26" t="n">
        <v>176</v>
      </c>
      <c r="B185" s="26" t="n">
        <v>1282</v>
      </c>
      <c r="C185" s="50" t="inlineStr">
        <is>
          <t>MTU Maintenance Berlin - Brandenburg
GmbH</t>
        </is>
      </c>
      <c r="D185" s="37" t="inlineStr">
        <is>
          <t>D; X &amp; Special Processes</t>
        </is>
      </c>
      <c r="E185" s="37" t="inlineStr">
        <is>
          <t>Main Base</t>
        </is>
      </c>
      <c r="F185" s="37" t="inlineStr">
        <is>
          <t>Germany, Berlin</t>
        </is>
      </c>
    </row>
    <row r="186" ht="16.5" customHeight="1">
      <c r="A186" s="26" t="n">
        <v>177</v>
      </c>
      <c r="B186" s="26" t="n">
        <v>1287</v>
      </c>
      <c r="C186" s="37" t="inlineStr">
        <is>
          <t>Global Aerotech</t>
        </is>
      </c>
      <c r="D186" s="37" t="inlineStr">
        <is>
          <t>A, B, C &amp; W</t>
        </is>
      </c>
      <c r="E186" s="37" t="inlineStr">
        <is>
          <t>Main Base</t>
        </is>
      </c>
      <c r="F186" s="27" t="inlineStr">
        <is>
          <t>O.R. Tambo - Safair</t>
        </is>
      </c>
    </row>
    <row r="187" ht="16.5" customHeight="1">
      <c r="A187" s="26" t="n">
        <v>178</v>
      </c>
      <c r="B187" s="26" t="n">
        <v>1288</v>
      </c>
      <c r="C187" s="37" t="inlineStr">
        <is>
          <t>BNT International (Pty) LTD</t>
        </is>
      </c>
      <c r="D187" s="37" t="inlineStr">
        <is>
          <t>B &amp; NDT</t>
        </is>
      </c>
      <c r="E187" s="37" t="inlineStr">
        <is>
          <t>Main Base</t>
        </is>
      </c>
      <c r="F187" s="27" t="inlineStr">
        <is>
          <t>O.R Tambo -Denel</t>
        </is>
      </c>
    </row>
    <row r="188" ht="16.5" customHeight="1">
      <c r="A188" s="26" t="n">
        <v>179</v>
      </c>
      <c r="B188" s="26" t="n">
        <v>1289</v>
      </c>
      <c r="C188" s="37" t="inlineStr">
        <is>
          <t>Aviation Dynamix</t>
        </is>
      </c>
      <c r="D188" s="37" t="inlineStr">
        <is>
          <t>A, B &amp; C</t>
        </is>
      </c>
      <c r="E188" s="37" t="inlineStr">
        <is>
          <t>Main Base</t>
        </is>
      </c>
      <c r="F188" s="37" t="inlineStr">
        <is>
          <t>Krugersdorp</t>
        </is>
      </c>
    </row>
    <row r="189" ht="24" customHeight="1">
      <c r="A189" s="26" t="n">
        <v>180</v>
      </c>
      <c r="B189" s="26" t="n">
        <v>1292</v>
      </c>
      <c r="C189" s="37" t="inlineStr">
        <is>
          <t>GE Engine Services, LLC d/b/a GE Aviation</t>
        </is>
      </c>
      <c r="D189" s="37" t="inlineStr">
        <is>
          <t>D &amp; NDT</t>
        </is>
      </c>
      <c r="E189" s="37" t="inlineStr">
        <is>
          <t>Main Base</t>
        </is>
      </c>
      <c r="F189" s="37" t="inlineStr">
        <is>
          <t>USA - Arkansas</t>
        </is>
      </c>
    </row>
    <row r="190" ht="16.5" customHeight="1">
      <c r="A190" s="26" t="n">
        <v>181</v>
      </c>
      <c r="B190" s="26" t="n">
        <v>1295</v>
      </c>
      <c r="C190" s="37" t="inlineStr">
        <is>
          <t>SAFRAN Aircraft Engines( SNECMA)</t>
        </is>
      </c>
      <c r="D190" s="37" t="inlineStr">
        <is>
          <t>D, X, NDT &amp; Special Processes</t>
        </is>
      </c>
      <c r="E190" s="37" t="inlineStr">
        <is>
          <t>Main Base</t>
        </is>
      </c>
      <c r="F190" s="37" t="inlineStr">
        <is>
          <t>France - Paris</t>
        </is>
      </c>
    </row>
    <row r="191" ht="16.5" customHeight="1">
      <c r="A191" s="26" t="n">
        <v>182</v>
      </c>
      <c r="B191" s="26" t="n">
        <v>1297</v>
      </c>
      <c r="C191" s="37" t="inlineStr">
        <is>
          <t>AMKA Aviation (PTY) Ltd</t>
        </is>
      </c>
      <c r="D191" s="37" t="inlineStr">
        <is>
          <t>W &amp; X</t>
        </is>
      </c>
      <c r="E191" s="37" t="inlineStr">
        <is>
          <t>Main Base</t>
        </is>
      </c>
      <c r="F191" s="37" t="inlineStr">
        <is>
          <t>Rand Airport</t>
        </is>
      </c>
    </row>
    <row r="192" ht="16.5" customHeight="1">
      <c r="A192" s="26" t="n">
        <v>183</v>
      </c>
      <c r="B192" s="26" t="n">
        <v>1299</v>
      </c>
      <c r="C192" s="37" t="inlineStr">
        <is>
          <t>COMAIR LIMITED</t>
        </is>
      </c>
      <c r="D192" s="37" t="inlineStr">
        <is>
          <t>B</t>
        </is>
      </c>
      <c r="E192" s="37" t="inlineStr">
        <is>
          <t>Main Base</t>
        </is>
      </c>
      <c r="F192" s="37" t="inlineStr">
        <is>
          <t>Lanseria</t>
        </is>
      </c>
    </row>
    <row r="193" ht="16.5" customHeight="1">
      <c r="A193" s="26" t="n">
        <v>184</v>
      </c>
      <c r="B193" s="26" t="n">
        <v>1301</v>
      </c>
      <c r="C193" s="37" t="inlineStr">
        <is>
          <t>XCALIBUR RESOURCES</t>
        </is>
      </c>
      <c r="D193" s="37" t="inlineStr">
        <is>
          <t>A,B &amp; C</t>
        </is>
      </c>
      <c r="E193" s="37" t="inlineStr">
        <is>
          <t>Main Base</t>
        </is>
      </c>
      <c r="F193" s="37" t="inlineStr">
        <is>
          <t>Wonderboom</t>
        </is>
      </c>
    </row>
    <row r="194" ht="16.5" customHeight="1">
      <c r="A194" s="26" t="n">
        <v>185</v>
      </c>
      <c r="B194" s="26" t="n">
        <v>1303</v>
      </c>
      <c r="C194" s="37" t="inlineStr">
        <is>
          <t>Avia Instruments</t>
        </is>
      </c>
      <c r="D194" s="37" t="inlineStr">
        <is>
          <t>X</t>
        </is>
      </c>
      <c r="E194" s="37" t="inlineStr">
        <is>
          <t>Main Base</t>
        </is>
      </c>
      <c r="F194" s="37" t="inlineStr">
        <is>
          <t>Wonderboom</t>
        </is>
      </c>
    </row>
    <row r="195" ht="16.5" customHeight="1">
      <c r="A195" s="26" t="n">
        <v>186</v>
      </c>
      <c r="B195" s="26" t="n">
        <v>1307</v>
      </c>
      <c r="C195" s="37" t="inlineStr">
        <is>
          <t>AIR EXPRESS ALGERIA</t>
        </is>
      </c>
      <c r="D195" s="37" t="inlineStr">
        <is>
          <t>A, C &amp; W</t>
        </is>
      </c>
      <c r="E195" s="37" t="inlineStr">
        <is>
          <t>Main Base</t>
        </is>
      </c>
      <c r="F195" s="37" t="inlineStr">
        <is>
          <t>Algeria</t>
        </is>
      </c>
    </row>
    <row r="196" ht="16.5" customHeight="1">
      <c r="A196" s="26" t="n">
        <v>187</v>
      </c>
      <c r="B196" s="26" t="n">
        <v>1310</v>
      </c>
      <c r="C196" s="37" t="inlineStr">
        <is>
          <t>PLATORAND</t>
        </is>
      </c>
      <c r="D196" s="37" t="inlineStr">
        <is>
          <t>A, B &amp; C</t>
        </is>
      </c>
      <c r="E196" s="37" t="inlineStr">
        <is>
          <t>Main Base</t>
        </is>
      </c>
      <c r="F196" s="37" t="inlineStr">
        <is>
          <t>Middelburg Airfield</t>
        </is>
      </c>
    </row>
    <row r="197" ht="16.5" customHeight="1">
      <c r="A197" s="26" t="n">
        <v>188</v>
      </c>
      <c r="B197" s="26" t="n">
        <v>1311</v>
      </c>
      <c r="C197" s="37" t="inlineStr">
        <is>
          <t>AIRCRAFT FUSELAGE REPAIRS</t>
        </is>
      </c>
      <c r="D197" s="37" t="inlineStr">
        <is>
          <t>B</t>
        </is>
      </c>
      <c r="E197" s="37" t="inlineStr">
        <is>
          <t>Main Base</t>
        </is>
      </c>
      <c r="F197" s="39" t="inlineStr">
        <is>
          <t>O.R Tambo -Bonaero</t>
        </is>
      </c>
    </row>
    <row r="198" ht="16.5" customHeight="1">
      <c r="A198" s="26" t="n">
        <v>189</v>
      </c>
      <c r="B198" s="26" t="n">
        <v>1312</v>
      </c>
      <c r="C198" s="37" t="inlineStr">
        <is>
          <t>Flyhigh Aviation (Pty) Ltd</t>
        </is>
      </c>
      <c r="D198" s="37" t="inlineStr">
        <is>
          <t>A, B and C</t>
        </is>
      </c>
      <c r="E198" s="37" t="inlineStr">
        <is>
          <t>Main Base</t>
        </is>
      </c>
      <c r="F198" s="37" t="inlineStr">
        <is>
          <t>Wonderboom</t>
        </is>
      </c>
    </row>
    <row r="199" ht="16.5" customHeight="1">
      <c r="A199" s="26" t="n">
        <v>190</v>
      </c>
      <c r="B199" s="26" t="n">
        <v>1314</v>
      </c>
      <c r="C199" s="37" t="inlineStr">
        <is>
          <t>Standard Aero ( Alliance) Inc</t>
        </is>
      </c>
      <c r="D199" s="37" t="inlineStr">
        <is>
          <t>D, X &amp; Special Processes</t>
        </is>
      </c>
      <c r="E199" s="37" t="inlineStr">
        <is>
          <t>Main Base</t>
        </is>
      </c>
      <c r="F199" s="37" t="inlineStr">
        <is>
          <t>USA - Tennessee</t>
        </is>
      </c>
    </row>
    <row r="200" ht="28.95" customHeight="1">
      <c r="A200" s="26" t="n">
        <v>191</v>
      </c>
      <c r="B200" s="26" t="n">
        <v>1315</v>
      </c>
      <c r="C200" s="37" t="inlineStr">
        <is>
          <t>AEROMARITIME MEDITERRANEAN- MALTA</t>
        </is>
      </c>
      <c r="D200" s="37" t="inlineStr">
        <is>
          <t>C, D, X &amp; NDT</t>
        </is>
      </c>
      <c r="E200" s="37" t="inlineStr">
        <is>
          <t>Main Base</t>
        </is>
      </c>
      <c r="F200" s="37" t="inlineStr">
        <is>
          <t>Malta</t>
        </is>
      </c>
    </row>
    <row r="201" ht="22.2" customHeight="1">
      <c r="A201" s="26" t="n">
        <v>192</v>
      </c>
      <c r="B201" s="26" t="n">
        <v>1319</v>
      </c>
      <c r="C201" s="37" t="inlineStr">
        <is>
          <t>Axella Aeronautical Engineering</t>
        </is>
      </c>
      <c r="D201" s="37" t="inlineStr">
        <is>
          <t>A,C &amp; W</t>
        </is>
      </c>
      <c r="E201" s="37" t="inlineStr">
        <is>
          <t>Main Base</t>
        </is>
      </c>
      <c r="F201" s="37" t="inlineStr">
        <is>
          <t>Potchefstroom Airfield</t>
        </is>
      </c>
    </row>
    <row r="202" ht="16.5" customHeight="1">
      <c r="A202" s="55" t="n">
        <v>193</v>
      </c>
      <c r="B202" s="55" t="n">
        <v>1322</v>
      </c>
      <c r="C202" s="56" t="inlineStr">
        <is>
          <t>FIREBLADE AVIATION (PTY) LTD</t>
        </is>
      </c>
      <c r="D202" s="56" t="inlineStr">
        <is>
          <t>A, B, C, E &amp; W</t>
        </is>
      </c>
      <c r="E202" s="56" t="inlineStr">
        <is>
          <t>Main Base</t>
        </is>
      </c>
      <c r="F202" s="57" t="inlineStr">
        <is>
          <t>O.R Tambo -Denel</t>
        </is>
      </c>
    </row>
    <row r="203" ht="16.5" customHeight="1">
      <c r="A203" s="55" t="n">
        <v>194</v>
      </c>
      <c r="B203" s="55" t="n">
        <v>1324</v>
      </c>
      <c r="C203" s="56" t="inlineStr">
        <is>
          <t>The Copter Shop CC</t>
        </is>
      </c>
      <c r="D203" s="56" t="inlineStr">
        <is>
          <t>A, B, C, D &amp; E</t>
        </is>
      </c>
      <c r="E203" s="56" t="inlineStr">
        <is>
          <t>Main Base</t>
        </is>
      </c>
      <c r="F203" s="56" t="inlineStr">
        <is>
          <t>Wonderboom</t>
        </is>
      </c>
    </row>
    <row r="204" ht="16.5" customHeight="1">
      <c r="A204" s="55" t="n">
        <v>196</v>
      </c>
      <c r="B204" s="55" t="n">
        <v>1330</v>
      </c>
      <c r="C204" s="56" t="inlineStr">
        <is>
          <t>AIRWORK NEW ZEALAND/CONAKRY</t>
        </is>
      </c>
      <c r="D204" s="56" t="inlineStr">
        <is>
          <t>D,E &amp; W</t>
        </is>
      </c>
      <c r="E204" s="56" t="inlineStr">
        <is>
          <t>Main Base</t>
        </is>
      </c>
      <c r="F204" s="56" t="inlineStr">
        <is>
          <t>New Zealand</t>
        </is>
      </c>
    </row>
    <row r="205" ht="16.5" customHeight="1">
      <c r="A205" s="55" t="n">
        <v>197</v>
      </c>
      <c r="B205" s="55" t="n">
        <v>1338</v>
      </c>
      <c r="C205" s="56" t="inlineStr">
        <is>
          <t>Safomar Aviation Maintenance(PTY)Ltd</t>
        </is>
      </c>
      <c r="D205" s="56" t="inlineStr">
        <is>
          <t>E</t>
        </is>
      </c>
      <c r="E205" s="56" t="inlineStr">
        <is>
          <t>Main Base</t>
        </is>
      </c>
      <c r="F205" s="56" t="inlineStr">
        <is>
          <t>Grand Central</t>
        </is>
      </c>
    </row>
    <row r="206" ht="16.5" customHeight="1">
      <c r="A206" s="26" t="n">
        <v>198</v>
      </c>
      <c r="B206" s="26" t="n">
        <v>1344</v>
      </c>
      <c r="C206" s="37" t="inlineStr">
        <is>
          <t>Fofang Aviation</t>
        </is>
      </c>
      <c r="D206" s="37" t="inlineStr">
        <is>
          <t>B</t>
        </is>
      </c>
      <c r="E206" s="37" t="inlineStr">
        <is>
          <t>Main Base</t>
        </is>
      </c>
      <c r="F206" s="37" t="inlineStr">
        <is>
          <t>Bonaero Park - Denel</t>
        </is>
      </c>
    </row>
    <row r="207" ht="33" customHeight="1">
      <c r="A207" s="26" t="n">
        <v>199</v>
      </c>
      <c r="B207" s="26" t="n">
        <v>1345</v>
      </c>
      <c r="C207" s="50" t="inlineStr">
        <is>
          <t>Yes Aircraft Maintenance (formely GOLDEN
WINGS AVIATION)</t>
        </is>
      </c>
      <c r="D207" s="37" t="inlineStr">
        <is>
          <t>A, C &amp; W</t>
        </is>
      </c>
      <c r="E207" s="37" t="inlineStr">
        <is>
          <t>Main Base</t>
        </is>
      </c>
      <c r="F207" s="27" t="inlineStr">
        <is>
          <t>O.R Tambo -Safair</t>
        </is>
      </c>
    </row>
    <row r="208" ht="16.5" customHeight="1">
      <c r="A208" s="55" t="n">
        <v>200</v>
      </c>
      <c r="B208" s="55" t="n">
        <v>1370</v>
      </c>
      <c r="C208" s="56" t="inlineStr">
        <is>
          <t>360 Aviation</t>
        </is>
      </c>
      <c r="D208" s="56" t="inlineStr">
        <is>
          <t>E</t>
        </is>
      </c>
      <c r="E208" s="56" t="inlineStr">
        <is>
          <t>Main Base</t>
        </is>
      </c>
      <c r="F208" s="56" t="inlineStr">
        <is>
          <t>Wonderboom</t>
        </is>
      </c>
    </row>
    <row r="209" ht="33" customHeight="1">
      <c r="A209" s="26" t="n">
        <v>201</v>
      </c>
      <c r="B209" s="26" t="n">
        <v>1387</v>
      </c>
      <c r="C209" s="37" t="inlineStr">
        <is>
          <t>Jabiru Aviation</t>
        </is>
      </c>
      <c r="D209" s="37" t="inlineStr">
        <is>
          <t>A,B, C, D &amp; W</t>
        </is>
      </c>
      <c r="E209" s="37" t="inlineStr">
        <is>
          <t>Main Base</t>
        </is>
      </c>
      <c r="F209" s="50" t="inlineStr">
        <is>
          <t>Bronkhorstspruit, Rhino
Park Airfiled</t>
        </is>
      </c>
    </row>
    <row r="210" ht="16.5" customHeight="1">
      <c r="A210" s="55" t="n">
        <v>202</v>
      </c>
      <c r="B210" s="55" t="n">
        <v>1390</v>
      </c>
      <c r="C210" s="56" t="inlineStr">
        <is>
          <t>Afritec Aviation Services</t>
        </is>
      </c>
      <c r="D210" s="56" t="inlineStr">
        <is>
          <t>A, C &amp; E</t>
        </is>
      </c>
      <c r="E210" s="56" t="inlineStr">
        <is>
          <t>Main Base</t>
        </is>
      </c>
      <c r="F210" s="56" t="inlineStr">
        <is>
          <t>Hoedspruit Airport</t>
        </is>
      </c>
    </row>
    <row r="211" ht="16.5" customHeight="1">
      <c r="A211" s="26" t="n">
        <v>203</v>
      </c>
      <c r="B211" s="26" t="n">
        <v>1394</v>
      </c>
      <c r="C211" s="37" t="inlineStr">
        <is>
          <t>AIRVENTURES HOT AIR BALLOONING CC</t>
        </is>
      </c>
      <c r="D211" s="37" t="inlineStr">
        <is>
          <t>A &amp; B</t>
        </is>
      </c>
      <c r="E211" s="37" t="inlineStr">
        <is>
          <t>Main Base</t>
        </is>
      </c>
      <c r="F211" s="37" t="inlineStr">
        <is>
          <t>Muldersdrift</t>
        </is>
      </c>
    </row>
    <row r="212" ht="25.95" customHeight="1">
      <c r="A212" s="26" t="n">
        <v>204</v>
      </c>
      <c r="B212" s="26" t="n">
        <v>1397</v>
      </c>
      <c r="C212" s="37" t="inlineStr">
        <is>
          <t>ALTON GROUP OF COMPANIES (VASLOSCENE)</t>
        </is>
      </c>
      <c r="D212" s="37" t="inlineStr">
        <is>
          <t>C, D</t>
        </is>
      </c>
      <c r="E212" s="37" t="inlineStr">
        <is>
          <t>Main Base</t>
        </is>
      </c>
      <c r="F212" s="37" t="inlineStr">
        <is>
          <t>Alton Park, Midrand</t>
        </is>
      </c>
    </row>
    <row r="213" ht="16.5" customHeight="1">
      <c r="A213" s="26" t="n">
        <v>205</v>
      </c>
      <c r="B213" s="26" t="n">
        <v>1400</v>
      </c>
      <c r="C213" s="37" t="inlineStr">
        <is>
          <t>Technic Aviation</t>
        </is>
      </c>
      <c r="D213" s="37" t="inlineStr">
        <is>
          <t>B, X &amp; NDT</t>
        </is>
      </c>
      <c r="E213" s="37" t="inlineStr">
        <is>
          <t>Main Base</t>
        </is>
      </c>
      <c r="F213" s="37" t="inlineStr">
        <is>
          <t>France, Manosque</t>
        </is>
      </c>
    </row>
    <row r="214" ht="16.5" customHeight="1">
      <c r="A214" s="26" t="n">
        <v>206</v>
      </c>
      <c r="B214" s="26" t="n">
        <v>1401</v>
      </c>
      <c r="C214" s="37" t="inlineStr">
        <is>
          <t>Guardian Air Maintenance</t>
        </is>
      </c>
      <c r="D214" s="37" t="inlineStr">
        <is>
          <t>A,B &amp; C</t>
        </is>
      </c>
      <c r="E214" s="37" t="inlineStr">
        <is>
          <t>Main Base</t>
        </is>
      </c>
      <c r="F214" s="37" t="inlineStr">
        <is>
          <t>Lanseria</t>
        </is>
      </c>
    </row>
    <row r="215" ht="16.5" customHeight="1">
      <c r="A215" s="55" t="n">
        <v>207</v>
      </c>
      <c r="B215" s="55" t="n">
        <v>1405</v>
      </c>
      <c r="C215" s="56" t="inlineStr">
        <is>
          <t>Inter Mountain Turbine Services , Inc</t>
        </is>
      </c>
      <c r="D215" s="56" t="inlineStr">
        <is>
          <t>D &amp; limited ratings</t>
        </is>
      </c>
      <c r="E215" s="56" t="inlineStr">
        <is>
          <t>Main Base</t>
        </is>
      </c>
      <c r="F215" s="56" t="inlineStr">
        <is>
          <t>USA - Utah</t>
        </is>
      </c>
    </row>
    <row r="216" ht="16.5" customHeight="1">
      <c r="A216" s="26" t="n">
        <v>208</v>
      </c>
      <c r="B216" s="26" t="n">
        <v>1407</v>
      </c>
      <c r="C216" s="37" t="inlineStr">
        <is>
          <t>Pratt &amp; Whitney Canada(UK)LTD</t>
        </is>
      </c>
      <c r="D216" s="37" t="inlineStr">
        <is>
          <t>C &amp; D</t>
        </is>
      </c>
      <c r="E216" s="37" t="inlineStr">
        <is>
          <t>Main Base</t>
        </is>
      </c>
      <c r="F216" s="37" t="inlineStr">
        <is>
          <t>UK - Luton</t>
        </is>
      </c>
    </row>
    <row r="217" ht="16.5" customHeight="1">
      <c r="A217" s="26" t="n">
        <v>209</v>
      </c>
      <c r="B217" s="26" t="n">
        <v>1410</v>
      </c>
      <c r="C217" s="37" t="inlineStr">
        <is>
          <t>Aerotec</t>
        </is>
      </c>
      <c r="D217" s="37" t="inlineStr">
        <is>
          <t>A,B,C &amp; W</t>
        </is>
      </c>
      <c r="E217" s="37" t="inlineStr">
        <is>
          <t>Main Base</t>
        </is>
      </c>
      <c r="F217" s="37" t="inlineStr">
        <is>
          <t>Nelspruit</t>
        </is>
      </c>
    </row>
    <row r="218" ht="16.5" customHeight="1">
      <c r="A218" s="26" t="n">
        <v>210</v>
      </c>
      <c r="B218" s="26" t="n">
        <v>1414</v>
      </c>
      <c r="C218" s="37" t="inlineStr">
        <is>
          <t>Air Serve</t>
        </is>
      </c>
      <c r="D218" s="37" t="inlineStr">
        <is>
          <t>A, C, W &amp; X</t>
        </is>
      </c>
      <c r="E218" s="37" t="inlineStr">
        <is>
          <t>Main Base</t>
        </is>
      </c>
      <c r="F218" s="37" t="inlineStr">
        <is>
          <t>Uganda</t>
        </is>
      </c>
    </row>
    <row r="219" ht="16.5" customHeight="1">
      <c r="A219" s="26" t="n">
        <v>211</v>
      </c>
      <c r="B219" s="26" t="n">
        <v>1415</v>
      </c>
      <c r="C219" s="37" t="inlineStr">
        <is>
          <t>ADT Heliworx</t>
        </is>
      </c>
      <c r="D219" s="37" t="inlineStr">
        <is>
          <t>B</t>
        </is>
      </c>
      <c r="E219" s="37" t="inlineStr">
        <is>
          <t>Main Base</t>
        </is>
      </c>
      <c r="F219" s="37" t="inlineStr">
        <is>
          <t>Brits Flyimg Club</t>
        </is>
      </c>
    </row>
    <row r="220" ht="16.5" customHeight="1">
      <c r="A220" s="55" t="n">
        <v>212</v>
      </c>
      <c r="B220" s="55" t="n">
        <v>1419</v>
      </c>
      <c r="C220" s="56" t="inlineStr">
        <is>
          <t>Transnet National Ports Authority</t>
        </is>
      </c>
      <c r="D220" s="56" t="inlineStr">
        <is>
          <t>E &amp; W</t>
        </is>
      </c>
      <c r="E220" s="56" t="inlineStr">
        <is>
          <t>Main Base</t>
        </is>
      </c>
      <c r="F220" s="56" t="inlineStr">
        <is>
          <t>Durban</t>
        </is>
      </c>
    </row>
    <row r="221" ht="16.5" customHeight="1">
      <c r="A221" s="26" t="n">
        <v>213</v>
      </c>
      <c r="B221" s="26" t="n">
        <v>1420</v>
      </c>
      <c r="C221" s="37" t="inlineStr">
        <is>
          <t>Bombardier Services (UK) Ltd</t>
        </is>
      </c>
      <c r="D221" s="37" t="inlineStr">
        <is>
          <t>A, C, X &amp; W</t>
        </is>
      </c>
      <c r="E221" s="37" t="inlineStr">
        <is>
          <t>Main Base</t>
        </is>
      </c>
      <c r="F221" s="37" t="inlineStr">
        <is>
          <t>UK</t>
        </is>
      </c>
    </row>
    <row r="222" ht="16.5" customHeight="1">
      <c r="A222" s="26" t="n">
        <v>214</v>
      </c>
      <c r="B222" s="26" t="n">
        <v>1421</v>
      </c>
      <c r="C222" s="37" t="inlineStr">
        <is>
          <t>Flyonics</t>
        </is>
      </c>
      <c r="D222" s="37" t="inlineStr">
        <is>
          <t>W &amp; X</t>
        </is>
      </c>
      <c r="E222" s="37" t="inlineStr">
        <is>
          <t>Main Base</t>
        </is>
      </c>
      <c r="F222" s="37" t="inlineStr">
        <is>
          <t>Rand Airport</t>
        </is>
      </c>
    </row>
    <row r="223" ht="16.5" customHeight="1">
      <c r="A223" s="26" t="n">
        <v>215</v>
      </c>
      <c r="B223" s="26" t="n">
        <v>1427</v>
      </c>
      <c r="C223" s="37" t="inlineStr">
        <is>
          <t>Skysource International SA</t>
        </is>
      </c>
      <c r="D223" s="37" t="inlineStr">
        <is>
          <t>A, B, C &amp; W</t>
        </is>
      </c>
      <c r="E223" s="37" t="inlineStr">
        <is>
          <t>Main Base</t>
        </is>
      </c>
      <c r="F223" s="37" t="inlineStr">
        <is>
          <t>Lanseria</t>
        </is>
      </c>
    </row>
    <row r="224" ht="16.5" customHeight="1">
      <c r="A224" s="26" t="n">
        <v>216</v>
      </c>
      <c r="B224" s="26" t="n">
        <v>1428</v>
      </c>
      <c r="C224" s="37" t="inlineStr">
        <is>
          <t>Vintage Aircraft Rebuilders</t>
        </is>
      </c>
      <c r="D224" s="37" t="inlineStr">
        <is>
          <t>A, B, C</t>
        </is>
      </c>
      <c r="E224" s="37" t="inlineStr">
        <is>
          <t>Main Base</t>
        </is>
      </c>
      <c r="F224" s="37" t="inlineStr">
        <is>
          <t>Springs Airfield</t>
        </is>
      </c>
    </row>
    <row r="225" ht="16.5" customHeight="1">
      <c r="A225" s="26" t="n">
        <v>217</v>
      </c>
      <c r="B225" s="26" t="n">
        <v>1429</v>
      </c>
      <c r="C225" s="37" t="inlineStr">
        <is>
          <t>Aero Services Pty Ltd</t>
        </is>
      </c>
      <c r="D225" s="37" t="inlineStr">
        <is>
          <t>B</t>
        </is>
      </c>
      <c r="E225" s="37" t="inlineStr">
        <is>
          <t>Main Base</t>
        </is>
      </c>
      <c r="F225" s="27" t="inlineStr">
        <is>
          <t>O.R Tambo -Safair</t>
        </is>
      </c>
    </row>
    <row r="226" ht="16.5" customHeight="1">
      <c r="A226" s="26" t="n">
        <v>219</v>
      </c>
      <c r="B226" s="26" t="n">
        <v>1438</v>
      </c>
      <c r="C226" s="37" t="inlineStr">
        <is>
          <t>FL Technics</t>
        </is>
      </c>
      <c r="D226" s="37" t="inlineStr">
        <is>
          <t>A,B,C,W &amp; NDT</t>
        </is>
      </c>
      <c r="E226" s="37" t="inlineStr">
        <is>
          <t>Main Base</t>
        </is>
      </c>
      <c r="F226" s="37" t="inlineStr">
        <is>
          <t>Lithuania</t>
        </is>
      </c>
    </row>
    <row r="227" ht="16.5" customHeight="1">
      <c r="A227" s="26" t="n">
        <v>220</v>
      </c>
      <c r="B227" s="26" t="n">
        <v>1440</v>
      </c>
      <c r="C227" s="37" t="inlineStr">
        <is>
          <t>Lufthansa Technik SA</t>
        </is>
      </c>
      <c r="D227" s="37" t="inlineStr">
        <is>
          <t>A,B,C &amp; W</t>
        </is>
      </c>
      <c r="E227" s="37" t="inlineStr">
        <is>
          <t>Main Base</t>
        </is>
      </c>
      <c r="F227" s="37" t="inlineStr">
        <is>
          <t>Boanero Park - Denel</t>
        </is>
      </c>
    </row>
    <row r="228" ht="16.5" customHeight="1">
      <c r="A228" s="26" t="n">
        <v>221</v>
      </c>
      <c r="B228" s="26" t="n">
        <v>1500</v>
      </c>
      <c r="C228" s="37" t="inlineStr">
        <is>
          <t>Indian Ocean</t>
        </is>
      </c>
      <c r="D228" s="37" t="inlineStr">
        <is>
          <t>A,B,C &amp; W</t>
        </is>
      </c>
      <c r="E228" s="37" t="inlineStr">
        <is>
          <t>Main Base</t>
        </is>
      </c>
      <c r="F228" s="37" t="inlineStr">
        <is>
          <t>Durban - Virginia</t>
        </is>
      </c>
    </row>
    <row r="229" ht="16.5" customHeight="1">
      <c r="A229" s="26" t="n">
        <v>222</v>
      </c>
      <c r="B229" s="26" t="n">
        <v>1501</v>
      </c>
      <c r="C229" s="37" t="inlineStr">
        <is>
          <t>Covington Aircraft Services</t>
        </is>
      </c>
      <c r="D229" s="37" t="inlineStr">
        <is>
          <t>D &amp; NDT</t>
        </is>
      </c>
      <c r="E229" s="37" t="inlineStr">
        <is>
          <t>Main Base</t>
        </is>
      </c>
      <c r="F229" s="37" t="inlineStr">
        <is>
          <t>USA - Okmulgee</t>
        </is>
      </c>
    </row>
    <row r="230" ht="16.5" customHeight="1">
      <c r="A230" s="26" t="n">
        <v>223</v>
      </c>
      <c r="B230" s="26" t="n">
        <v>1502</v>
      </c>
      <c r="C230" s="37" t="inlineStr">
        <is>
          <t>Joramco</t>
        </is>
      </c>
      <c r="D230" s="37" t="inlineStr">
        <is>
          <t>A,B, C, W &amp;X</t>
        </is>
      </c>
      <c r="E230" s="37" t="inlineStr">
        <is>
          <t>Main Base</t>
        </is>
      </c>
      <c r="F230" s="37" t="inlineStr">
        <is>
          <t>Jordan</t>
        </is>
      </c>
    </row>
    <row r="231" ht="16.5" customHeight="1">
      <c r="A231" s="26" t="n">
        <v>224</v>
      </c>
      <c r="B231" s="26" t="n">
        <v>1504</v>
      </c>
      <c r="C231" s="37" t="inlineStr">
        <is>
          <t>Lelani</t>
        </is>
      </c>
      <c r="D231" s="37" t="inlineStr">
        <is>
          <t>A &amp; C</t>
        </is>
      </c>
      <c r="E231" s="37" t="inlineStr">
        <is>
          <t>Main Base</t>
        </is>
      </c>
      <c r="F231" s="37" t="inlineStr">
        <is>
          <t>Lanseria</t>
        </is>
      </c>
    </row>
    <row r="232" ht="16.5" customHeight="1">
      <c r="A232" s="26" t="n">
        <v>225</v>
      </c>
      <c r="B232" s="26" t="n">
        <v>1507</v>
      </c>
      <c r="C232" s="37" t="inlineStr">
        <is>
          <t>West Air Wings</t>
        </is>
      </c>
      <c r="D232" s="37" t="inlineStr">
        <is>
          <t>A, B &amp; C</t>
        </is>
      </c>
      <c r="E232" s="37" t="inlineStr">
        <is>
          <t>Main Base</t>
        </is>
      </c>
      <c r="F232" s="37" t="inlineStr">
        <is>
          <t>Namibia</t>
        </is>
      </c>
    </row>
    <row r="233" ht="16.5" customHeight="1">
      <c r="A233" s="26" t="n">
        <v>226</v>
      </c>
      <c r="B233" s="26" t="n">
        <v>1520</v>
      </c>
      <c r="C233" s="37" t="inlineStr">
        <is>
          <t>Ground2Air</t>
        </is>
      </c>
      <c r="D233" s="37" t="inlineStr">
        <is>
          <t>A,C &amp; W</t>
        </is>
      </c>
      <c r="E233" s="37" t="inlineStr">
        <is>
          <t>Main Base</t>
        </is>
      </c>
      <c r="F233" s="37" t="inlineStr">
        <is>
          <t>Mauritius</t>
        </is>
      </c>
    </row>
    <row r="234" ht="16.5" customHeight="1">
      <c r="A234" s="26" t="n">
        <v>227</v>
      </c>
      <c r="B234" s="26" t="n">
        <v>1524</v>
      </c>
      <c r="C234" s="37" t="inlineStr">
        <is>
          <t>United Aircraft Maintenance (Pty) Ltd</t>
        </is>
      </c>
      <c r="D234" s="37" t="inlineStr">
        <is>
          <t>A,C &amp; W</t>
        </is>
      </c>
      <c r="E234" s="37" t="inlineStr">
        <is>
          <t>Main Base</t>
        </is>
      </c>
      <c r="F234" s="37" t="inlineStr">
        <is>
          <t>Lanseria</t>
        </is>
      </c>
    </row>
    <row r="235" ht="16.5" customHeight="1">
      <c r="A235" s="26" t="n">
        <v>228</v>
      </c>
      <c r="B235" s="26" t="n">
        <v>1525</v>
      </c>
      <c r="C235" s="37" t="inlineStr">
        <is>
          <t>Air Mauritius Ltd</t>
        </is>
      </c>
      <c r="D235" s="37" t="inlineStr">
        <is>
          <t>A, C &amp; W</t>
        </is>
      </c>
      <c r="E235" s="37" t="inlineStr">
        <is>
          <t>Main Base</t>
        </is>
      </c>
      <c r="F235" s="37" t="inlineStr">
        <is>
          <t>Mauritius</t>
        </is>
      </c>
    </row>
    <row r="236" ht="16.5" customHeight="1">
      <c r="A236" s="26" t="n">
        <v>229</v>
      </c>
      <c r="B236" s="26" t="n">
        <v>1528</v>
      </c>
      <c r="C236" s="37" t="inlineStr">
        <is>
          <t>Against The Wind</t>
        </is>
      </c>
      <c r="D236" s="37" t="inlineStr">
        <is>
          <t>A &amp; C</t>
        </is>
      </c>
      <c r="E236" s="37" t="inlineStr">
        <is>
          <t>Main Base</t>
        </is>
      </c>
      <c r="F236" s="37" t="inlineStr">
        <is>
          <t>Springs Airfield</t>
        </is>
      </c>
    </row>
    <row r="237" ht="16.5" customHeight="1">
      <c r="A237" s="26" t="n">
        <v>230</v>
      </c>
      <c r="B237" s="26" t="n">
        <v>1532</v>
      </c>
      <c r="C237" s="37" t="inlineStr">
        <is>
          <t>NYELETI TECHNOLOGIES</t>
        </is>
      </c>
      <c r="D237" s="37" t="inlineStr">
        <is>
          <t>B</t>
        </is>
      </c>
      <c r="E237" s="37" t="inlineStr">
        <is>
          <t>Main Base</t>
        </is>
      </c>
      <c r="F237" s="27" t="inlineStr">
        <is>
          <t>Boksburg, Jet Park</t>
        </is>
      </c>
    </row>
    <row r="238" ht="16.5" customHeight="1">
      <c r="A238" s="55" t="n">
        <v>231</v>
      </c>
      <c r="B238" s="55" t="n">
        <v>1533</v>
      </c>
      <c r="C238" s="56" t="inlineStr">
        <is>
          <t>HWTI T/A Aircraft Inc</t>
        </is>
      </c>
      <c r="D238" s="56" t="inlineStr">
        <is>
          <t>E</t>
        </is>
      </c>
      <c r="E238" s="56" t="inlineStr">
        <is>
          <t>Main Base</t>
        </is>
      </c>
      <c r="F238" s="58" t="inlineStr">
        <is>
          <t>Jack Taylor</t>
        </is>
      </c>
    </row>
    <row r="239" ht="16.95" customHeight="1">
      <c r="A239" s="26" t="n">
        <v>232</v>
      </c>
      <c r="B239" s="26" t="n">
        <v>1534</v>
      </c>
      <c r="C239" s="37" t="inlineStr">
        <is>
          <t>Revima</t>
        </is>
      </c>
      <c r="D239" s="59" t="inlineStr">
        <is>
          <t>B, X , NDT &amp; Special Processes</t>
        </is>
      </c>
      <c r="E239" s="37" t="inlineStr">
        <is>
          <t>Main Base</t>
        </is>
      </c>
      <c r="F239" s="37" t="inlineStr">
        <is>
          <t>France</t>
        </is>
      </c>
    </row>
    <row r="240" ht="19.2" customHeight="1">
      <c r="A240" s="26" t="n">
        <v>233</v>
      </c>
      <c r="B240" s="26" t="n">
        <v>1535</v>
      </c>
      <c r="C240" s="37" t="inlineStr">
        <is>
          <t>EPCOR</t>
        </is>
      </c>
      <c r="D240" s="40" t="inlineStr">
        <is>
          <t>B, NDT &amp; Special Processes</t>
        </is>
      </c>
      <c r="E240" s="37" t="inlineStr">
        <is>
          <t>Main Base</t>
        </is>
      </c>
      <c r="F240" s="46" t="inlineStr">
        <is>
          <t>Netherlands</t>
        </is>
      </c>
    </row>
    <row r="241" ht="16.5" customHeight="1">
      <c r="A241" s="26" t="n">
        <v>234</v>
      </c>
      <c r="B241" s="26" t="n">
        <v>1536</v>
      </c>
      <c r="C241" s="37" t="inlineStr">
        <is>
          <t>Aiforce Turbine Services Texas</t>
        </is>
      </c>
      <c r="D241" s="59" t="inlineStr">
        <is>
          <t>C, D, NDT &amp; Special Processes</t>
        </is>
      </c>
      <c r="E241" s="37" t="inlineStr">
        <is>
          <t>Main Base</t>
        </is>
      </c>
      <c r="F241" s="59" t="inlineStr">
        <is>
          <t>USA - Mathis Texas</t>
        </is>
      </c>
    </row>
    <row r="242" ht="16.5" customHeight="1">
      <c r="A242" s="26" t="n">
        <v>235</v>
      </c>
      <c r="B242" s="26" t="n">
        <v>1540</v>
      </c>
      <c r="C242" s="37" t="inlineStr">
        <is>
          <t>Executive Aircraft Refurbishement</t>
        </is>
      </c>
      <c r="D242" s="37" t="inlineStr">
        <is>
          <t>B &amp; X5</t>
        </is>
      </c>
      <c r="E242" s="37" t="inlineStr">
        <is>
          <t>Main Base</t>
        </is>
      </c>
      <c r="F242" s="37" t="inlineStr">
        <is>
          <t>Lanseria</t>
        </is>
      </c>
    </row>
    <row r="243" ht="21" customHeight="1">
      <c r="A243" s="26" t="n">
        <v>236</v>
      </c>
      <c r="B243" s="26" t="n">
        <v>1541</v>
      </c>
      <c r="C243" s="37" t="inlineStr">
        <is>
          <t>Aves Technics</t>
        </is>
      </c>
      <c r="D243" s="37" t="inlineStr">
        <is>
          <t>A,B,C&amp; W</t>
        </is>
      </c>
      <c r="E243" s="37" t="inlineStr">
        <is>
          <t>Main Base</t>
        </is>
      </c>
      <c r="F243" s="41" t="inlineStr">
        <is>
          <t>Boanero Park -Safair</t>
        </is>
      </c>
    </row>
    <row r="244" ht="16.5" customHeight="1">
      <c r="A244" s="26" t="n">
        <v>237</v>
      </c>
      <c r="B244" s="26" t="n">
        <v>1542</v>
      </c>
      <c r="C244" s="37" t="inlineStr">
        <is>
          <t>GE Company USA</t>
        </is>
      </c>
      <c r="D244" s="37" t="inlineStr">
        <is>
          <t>D</t>
        </is>
      </c>
      <c r="E244" s="37" t="inlineStr">
        <is>
          <t>Main Base</t>
        </is>
      </c>
      <c r="F244" s="41" t="inlineStr">
        <is>
          <t>USA - West Lafayette</t>
        </is>
      </c>
    </row>
    <row r="245" ht="16.5" customHeight="1">
      <c r="A245" s="55" t="n">
        <v>238</v>
      </c>
      <c r="B245" s="55" t="n">
        <v>1543</v>
      </c>
      <c r="C245" s="56" t="inlineStr">
        <is>
          <t>AIRWORK AFRICA</t>
        </is>
      </c>
      <c r="D245" s="56" t="inlineStr">
        <is>
          <t>E</t>
        </is>
      </c>
      <c r="E245" s="56" t="inlineStr">
        <is>
          <t>Main Base</t>
        </is>
      </c>
      <c r="F245" s="60" t="inlineStr">
        <is>
          <t>Wonderboom</t>
        </is>
      </c>
    </row>
    <row r="246" ht="16.5" customHeight="1">
      <c r="A246" s="26" t="n">
        <v>239</v>
      </c>
      <c r="B246" s="26" t="n">
        <v>1551</v>
      </c>
      <c r="C246" s="37" t="inlineStr">
        <is>
          <t>Empire Aerospace</t>
        </is>
      </c>
      <c r="D246" s="43" t="inlineStr">
        <is>
          <t>A, B, C, W &amp; NDT</t>
        </is>
      </c>
      <c r="E246" s="37" t="inlineStr">
        <is>
          <t>Main Base</t>
        </is>
      </c>
      <c r="F246" s="37" t="inlineStr">
        <is>
          <t>USA</t>
        </is>
      </c>
    </row>
    <row r="247" ht="33" customHeight="1">
      <c r="A247" s="26" t="n">
        <v>240</v>
      </c>
      <c r="B247" s="26" t="n">
        <v>1602</v>
      </c>
      <c r="C247" s="50" t="inlineStr">
        <is>
          <t>Turbine Engine Maintenance Repair and
Overhaul (Pty) Ltd</t>
        </is>
      </c>
      <c r="D247" s="37" t="inlineStr">
        <is>
          <t>C</t>
        </is>
      </c>
      <c r="E247" s="37" t="inlineStr">
        <is>
          <t>Main Base</t>
        </is>
      </c>
      <c r="F247" s="37" t="inlineStr">
        <is>
          <t>Lanseria</t>
        </is>
      </c>
    </row>
    <row r="248" ht="16.5" customHeight="1">
      <c r="A248" s="26" t="n">
        <v>241</v>
      </c>
      <c r="B248" s="26" t="n">
        <v>1606</v>
      </c>
      <c r="C248" s="37" t="inlineStr">
        <is>
          <t>Jet A Powered Conversions</t>
        </is>
      </c>
      <c r="D248" s="37" t="inlineStr">
        <is>
          <t>A &amp; C</t>
        </is>
      </c>
      <c r="E248" s="37" t="inlineStr">
        <is>
          <t>Main Base</t>
        </is>
      </c>
      <c r="F248" s="46" t="inlineStr">
        <is>
          <t>Rand Airport</t>
        </is>
      </c>
    </row>
    <row r="249" ht="16.5" customHeight="1">
      <c r="A249" s="26" t="n">
        <v>242</v>
      </c>
      <c r="B249" s="26" t="n">
        <v>1606</v>
      </c>
      <c r="C249" s="37" t="inlineStr">
        <is>
          <t>Jet A1</t>
        </is>
      </c>
      <c r="D249" s="37" t="inlineStr">
        <is>
          <t>A,C</t>
        </is>
      </c>
      <c r="E249" s="37" t="inlineStr">
        <is>
          <t>Main Base</t>
        </is>
      </c>
      <c r="F249" s="46" t="inlineStr">
        <is>
          <t>Rand Airport</t>
        </is>
      </c>
    </row>
    <row r="250" ht="16.5" customHeight="1">
      <c r="A250" s="26" t="n">
        <v>243</v>
      </c>
      <c r="B250" s="26" t="n">
        <v>1615</v>
      </c>
      <c r="C250" s="37" t="inlineStr">
        <is>
          <t>Faith Aviation</t>
        </is>
      </c>
      <c r="D250" s="37" t="inlineStr">
        <is>
          <t>W</t>
        </is>
      </c>
      <c r="E250" s="37" t="inlineStr">
        <is>
          <t>Main Base</t>
        </is>
      </c>
      <c r="F250" s="40" t="inlineStr">
        <is>
          <t>Kempton Park</t>
        </is>
      </c>
    </row>
    <row r="251" ht="16.5" customHeight="1">
      <c r="A251" s="26" t="n">
        <v>244</v>
      </c>
      <c r="B251" s="26" t="n">
        <v>1622</v>
      </c>
      <c r="C251" s="37" t="inlineStr">
        <is>
          <t>Tjaart Aviation (PTY) Ltd</t>
        </is>
      </c>
      <c r="D251" s="37" t="inlineStr">
        <is>
          <t>B &amp; W</t>
        </is>
      </c>
      <c r="E251" s="37" t="inlineStr">
        <is>
          <t>Main Base</t>
        </is>
      </c>
      <c r="F251" s="37" t="inlineStr">
        <is>
          <t>Nelspruit</t>
        </is>
      </c>
    </row>
    <row r="252" ht="16.5" customHeight="1">
      <c r="A252" s="26" t="n">
        <v>245</v>
      </c>
      <c r="B252" s="26" t="n">
        <v>1624</v>
      </c>
      <c r="C252" s="37" t="inlineStr">
        <is>
          <t>FlyCemAir</t>
        </is>
      </c>
      <c r="D252" s="37" t="inlineStr">
        <is>
          <t>A, C &amp; W</t>
        </is>
      </c>
      <c r="E252" s="37" t="inlineStr">
        <is>
          <t>Main Base</t>
        </is>
      </c>
      <c r="F252" s="37" t="inlineStr">
        <is>
          <t>Canada</t>
        </is>
      </c>
    </row>
    <row r="253" ht="16.5" customHeight="1">
      <c r="A253" s="55" t="n">
        <v>246</v>
      </c>
      <c r="B253" s="55" t="n">
        <v>1626</v>
      </c>
      <c r="C253" s="56" t="inlineStr">
        <is>
          <t>Springler</t>
        </is>
      </c>
      <c r="D253" s="56" t="inlineStr">
        <is>
          <t>A, B, C, D &amp; E</t>
        </is>
      </c>
      <c r="E253" s="56" t="inlineStr">
        <is>
          <t>Main Base</t>
        </is>
      </c>
      <c r="F253" s="56" t="inlineStr">
        <is>
          <t>Canada</t>
        </is>
      </c>
    </row>
    <row r="254" ht="16.5" customHeight="1">
      <c r="A254" s="26" t="n">
        <v>247</v>
      </c>
      <c r="B254" s="26" t="n">
        <v>1700</v>
      </c>
      <c r="C254" s="37" t="inlineStr">
        <is>
          <t>CIRRUS Africa</t>
        </is>
      </c>
      <c r="D254" s="37" t="inlineStr">
        <is>
          <t>A ,C &amp; W</t>
        </is>
      </c>
      <c r="E254" s="37" t="inlineStr">
        <is>
          <t>Main Base</t>
        </is>
      </c>
      <c r="F254" s="37" t="inlineStr">
        <is>
          <t>Lanseria</t>
        </is>
      </c>
    </row>
    <row r="255" ht="16.5" customHeight="1">
      <c r="A255" s="26" t="n">
        <v>1</v>
      </c>
      <c r="B255" s="26" t="n">
        <v>1610</v>
      </c>
      <c r="C255" s="37" t="inlineStr">
        <is>
          <t>Seaview Aerobatics</t>
        </is>
      </c>
      <c r="D255" s="28" t="inlineStr">
        <is>
          <t>A, B, C</t>
        </is>
      </c>
      <c r="E255" s="37" t="inlineStr">
        <is>
          <t>Main Base</t>
        </is>
      </c>
      <c r="F255" s="28" t="inlineStr">
        <is>
          <t>Seaview, PE</t>
        </is>
      </c>
    </row>
    <row r="256" ht="16.5" customHeight="1">
      <c r="A256" s="26" t="n">
        <v>2</v>
      </c>
      <c r="B256" s="26" t="n">
        <v>1147</v>
      </c>
      <c r="C256" s="37" t="inlineStr">
        <is>
          <t>Robin Coss Aviation (Pty) Ltd</t>
        </is>
      </c>
      <c r="D256" s="28" t="inlineStr">
        <is>
          <t>A , B , C &amp; W (NTCA)</t>
        </is>
      </c>
      <c r="E256" s="37" t="inlineStr">
        <is>
          <t>Main Base</t>
        </is>
      </c>
      <c r="F256" s="28" t="inlineStr">
        <is>
          <t>Cape Town</t>
        </is>
      </c>
    </row>
    <row r="257" ht="16.5" customHeight="1">
      <c r="A257" s="55" t="n">
        <v>3</v>
      </c>
      <c r="B257" s="55" t="n">
        <v>1045</v>
      </c>
      <c r="C257" s="60" t="inlineStr">
        <is>
          <t>SA Red Cross Air Mercy  Service</t>
        </is>
      </c>
      <c r="D257" s="61" t="inlineStr">
        <is>
          <t>A,  C, E &amp; W</t>
        </is>
      </c>
      <c r="E257" s="56" t="inlineStr">
        <is>
          <t>Main Base</t>
        </is>
      </c>
      <c r="F257" s="61" t="inlineStr">
        <is>
          <t>Cape Town</t>
        </is>
      </c>
    </row>
    <row r="258" ht="16.5" customHeight="1">
      <c r="A258" s="199" t="n"/>
      <c r="B258" s="199" t="n"/>
      <c r="C258" s="199" t="n"/>
      <c r="D258" s="61" t="inlineStr">
        <is>
          <t>A, C, E &amp; W</t>
        </is>
      </c>
      <c r="E258" s="56" t="inlineStr">
        <is>
          <t>Satellite-Station</t>
        </is>
      </c>
      <c r="F258" s="61" t="inlineStr">
        <is>
          <t>Durban</t>
        </is>
      </c>
    </row>
    <row r="259" ht="16.5" customHeight="1">
      <c r="A259" s="200" t="n"/>
      <c r="B259" s="200" t="n"/>
      <c r="C259" s="200" t="n"/>
      <c r="D259" s="61" t="inlineStr">
        <is>
          <t>E</t>
        </is>
      </c>
      <c r="E259" s="56" t="inlineStr">
        <is>
          <t>Satellite-Station</t>
        </is>
      </c>
      <c r="F259" s="61" t="inlineStr">
        <is>
          <t>Oudtshoorn</t>
        </is>
      </c>
    </row>
    <row r="260" ht="16.5" customHeight="1">
      <c r="A260" s="55" t="n">
        <v>4</v>
      </c>
      <c r="B260" s="55" t="n">
        <v>1236</v>
      </c>
      <c r="C260" s="56" t="inlineStr">
        <is>
          <t>FliteTech (Pty) Ltd</t>
        </is>
      </c>
      <c r="D260" s="61" t="inlineStr">
        <is>
          <t>E &amp; W</t>
        </is>
      </c>
      <c r="E260" s="56" t="inlineStr">
        <is>
          <t>Main Base</t>
        </is>
      </c>
      <c r="F260" s="61" t="inlineStr">
        <is>
          <t>Cape Town</t>
        </is>
      </c>
    </row>
    <row r="261" ht="16.5" customHeight="1">
      <c r="A261" s="26" t="n">
        <v>5</v>
      </c>
      <c r="B261" s="26" t="n">
        <v>1386</v>
      </c>
      <c r="C261" s="37" t="inlineStr">
        <is>
          <t>Whip-Air Aviation</t>
        </is>
      </c>
      <c r="D261" s="28" t="inlineStr">
        <is>
          <t>A, B, C &amp; W</t>
        </is>
      </c>
      <c r="E261" s="37" t="inlineStr">
        <is>
          <t>Main Base</t>
        </is>
      </c>
      <c r="F261" s="28" t="inlineStr">
        <is>
          <t>Cape Town, Wellington</t>
        </is>
      </c>
    </row>
    <row r="262" ht="16.5" customHeight="1">
      <c r="A262" s="55" t="n">
        <v>6</v>
      </c>
      <c r="B262" s="55" t="n">
        <v>619</v>
      </c>
      <c r="C262" s="56" t="inlineStr">
        <is>
          <t>Cape Aircraft Interiors</t>
        </is>
      </c>
      <c r="D262" s="61" t="inlineStr">
        <is>
          <t>B &amp; E</t>
        </is>
      </c>
      <c r="E262" s="56" t="inlineStr">
        <is>
          <t>Main Base</t>
        </is>
      </c>
      <c r="F262" s="61" t="inlineStr">
        <is>
          <t>Cape Town</t>
        </is>
      </c>
    </row>
    <row r="263" ht="16.5" customHeight="1">
      <c r="A263" s="26" t="n">
        <v>7</v>
      </c>
      <c r="B263" s="26" t="n">
        <v>1326</v>
      </c>
      <c r="C263" s="37" t="inlineStr">
        <is>
          <t>Mac Air NDT Solutions</t>
        </is>
      </c>
      <c r="D263" s="28" t="inlineStr">
        <is>
          <t>NDT</t>
        </is>
      </c>
      <c r="E263" s="37" t="inlineStr">
        <is>
          <t>Main Base</t>
        </is>
      </c>
      <c r="F263" s="28" t="inlineStr">
        <is>
          <t>Cape Town</t>
        </is>
      </c>
    </row>
    <row r="264" ht="16.5" customHeight="1">
      <c r="A264" s="178" t="n"/>
      <c r="B264" s="178" t="n"/>
      <c r="C264" s="178" t="n"/>
      <c r="D264" s="61" t="inlineStr">
        <is>
          <t>A,C &amp; E</t>
        </is>
      </c>
      <c r="E264" s="56" t="inlineStr">
        <is>
          <t>Main Base</t>
        </is>
      </c>
      <c r="F264" s="61" t="inlineStr">
        <is>
          <t>Cape Town</t>
        </is>
      </c>
    </row>
    <row r="265" ht="33" customHeight="1">
      <c r="A265" s="199" t="n"/>
      <c r="B265" s="199" t="n"/>
      <c r="C265" s="199" t="n"/>
      <c r="D265" s="61" t="inlineStr">
        <is>
          <t>A,C &amp; E</t>
        </is>
      </c>
      <c r="E265" s="56" t="inlineStr">
        <is>
          <t>Satellite-Station</t>
        </is>
      </c>
      <c r="F265" s="62" t="inlineStr">
        <is>
          <t>Mozambique -Benguerra
Island</t>
        </is>
      </c>
    </row>
    <row r="266" ht="33" customHeight="1">
      <c r="A266" s="167" t="n">
        <v>8</v>
      </c>
      <c r="B266" s="167" t="n">
        <v>1388</v>
      </c>
      <c r="C266" s="181" t="inlineStr">
        <is>
          <t>East Coast Aviation (Pty) LTD</t>
        </is>
      </c>
      <c r="D266" s="61" t="inlineStr">
        <is>
          <t>A,C &amp; E</t>
        </is>
      </c>
      <c r="E266" s="56" t="inlineStr">
        <is>
          <t>Satellite-Station</t>
        </is>
      </c>
      <c r="F266" s="62" t="inlineStr">
        <is>
          <t>Mozambique- Quilaea
Islands</t>
        </is>
      </c>
    </row>
    <row r="267" ht="16.5" customHeight="1">
      <c r="A267" s="199" t="n"/>
      <c r="B267" s="199" t="n"/>
      <c r="C267" s="199" t="n"/>
      <c r="D267" s="61" t="inlineStr">
        <is>
          <t>A,C &amp; E</t>
        </is>
      </c>
      <c r="E267" s="56" t="inlineStr">
        <is>
          <t>Satellite-Station</t>
        </is>
      </c>
      <c r="F267" s="61" t="inlineStr">
        <is>
          <t>Namibia - Luderitz</t>
        </is>
      </c>
    </row>
    <row r="268" ht="16.5" customHeight="1">
      <c r="A268" s="199" t="n"/>
      <c r="B268" s="199" t="n"/>
      <c r="C268" s="199" t="n"/>
      <c r="D268" s="61" t="inlineStr">
        <is>
          <t>A,C &amp; E</t>
        </is>
      </c>
      <c r="E268" s="56" t="inlineStr">
        <is>
          <t>Satellite-Station</t>
        </is>
      </c>
      <c r="F268" s="61" t="inlineStr">
        <is>
          <t>Durban - Virginia</t>
        </is>
      </c>
    </row>
    <row r="269" ht="16.5" customHeight="1">
      <c r="A269" s="200" t="n"/>
      <c r="B269" s="200" t="n"/>
      <c r="C269" s="200" t="n"/>
      <c r="D269" s="61" t="inlineStr">
        <is>
          <t>A,C &amp; E</t>
        </is>
      </c>
      <c r="E269" s="56" t="inlineStr">
        <is>
          <t>Satellite-Station</t>
        </is>
      </c>
      <c r="F269" s="61" t="inlineStr">
        <is>
          <t>Springbok Airfield</t>
        </is>
      </c>
    </row>
    <row r="270" ht="16.5" customHeight="1">
      <c r="A270" s="26" t="n">
        <v>9</v>
      </c>
      <c r="B270" s="26" t="n">
        <v>1425</v>
      </c>
      <c r="C270" s="37" t="inlineStr">
        <is>
          <t>Normair</t>
        </is>
      </c>
      <c r="D270" s="28" t="inlineStr">
        <is>
          <t>B</t>
        </is>
      </c>
      <c r="E270" s="37" t="inlineStr">
        <is>
          <t>Main Base</t>
        </is>
      </c>
      <c r="F270" s="28" t="inlineStr">
        <is>
          <t>Cape Town</t>
        </is>
      </c>
    </row>
    <row r="271" ht="16.5" customHeight="1">
      <c r="A271" s="55" t="n">
        <v>10</v>
      </c>
      <c r="B271" s="55" t="n">
        <v>1426</v>
      </c>
      <c r="C271" s="56" t="inlineStr">
        <is>
          <t>Ultimax Aviation (Pty) Ltd</t>
        </is>
      </c>
      <c r="D271" s="61" t="inlineStr">
        <is>
          <t>E</t>
        </is>
      </c>
      <c r="E271" s="56" t="inlineStr">
        <is>
          <t>Main Base</t>
        </is>
      </c>
      <c r="F271" s="61" t="inlineStr">
        <is>
          <t>Cape Town</t>
        </is>
      </c>
    </row>
    <row r="272" ht="16.5" customHeight="1">
      <c r="A272" s="55" t="n">
        <v>11</v>
      </c>
      <c r="B272" s="55" t="n">
        <v>46</v>
      </c>
      <c r="C272" s="56" t="inlineStr">
        <is>
          <t>43 Air School</t>
        </is>
      </c>
      <c r="D272" s="61" t="inlineStr">
        <is>
          <t>A, B, C , D, E,  W &amp; X</t>
        </is>
      </c>
      <c r="E272" s="56" t="inlineStr">
        <is>
          <t>Main Base</t>
        </is>
      </c>
      <c r="F272" s="61" t="inlineStr">
        <is>
          <t>Port Alfred</t>
        </is>
      </c>
    </row>
    <row r="273" ht="33" customHeight="1">
      <c r="A273" s="26" t="n">
        <v>12</v>
      </c>
      <c r="B273" s="26" t="n">
        <v>1029</v>
      </c>
      <c r="C273" s="37" t="inlineStr">
        <is>
          <t>Master Tech Aircraft Maintenance</t>
        </is>
      </c>
      <c r="D273" s="28" t="inlineStr">
        <is>
          <t>A, B, C and Specialized Processes</t>
        </is>
      </c>
      <c r="E273" s="37" t="inlineStr">
        <is>
          <t>Main Base</t>
        </is>
      </c>
      <c r="F273" s="63" t="inlineStr">
        <is>
          <t>Cape Town, Robertson
Airfield</t>
        </is>
      </c>
    </row>
    <row r="274" ht="33" customHeight="1">
      <c r="A274" s="26" t="n">
        <v>13</v>
      </c>
      <c r="B274" s="26" t="n">
        <v>1398</v>
      </c>
      <c r="C274" s="50" t="inlineStr">
        <is>
          <t>Diepkloof Aircraft Maintenance (Highveld
Aircraft Maintenance t/a)</t>
        </is>
      </c>
      <c r="D274" s="28" t="inlineStr">
        <is>
          <t>A, B and C</t>
        </is>
      </c>
      <c r="E274" s="37" t="inlineStr">
        <is>
          <t>Main Base</t>
        </is>
      </c>
      <c r="F274" s="28" t="inlineStr">
        <is>
          <t>Cape Town, Malmesbury</t>
        </is>
      </c>
    </row>
    <row r="275" ht="16.5" customHeight="1">
      <c r="A275" s="26" t="n">
        <v>14</v>
      </c>
      <c r="B275" s="26" t="n">
        <v>195</v>
      </c>
      <c r="C275" s="37" t="inlineStr">
        <is>
          <t>Falconair (Pty) Ltd</t>
        </is>
      </c>
      <c r="D275" s="28" t="inlineStr">
        <is>
          <t>A, B, C, W &amp; X</t>
        </is>
      </c>
      <c r="E275" s="37" t="inlineStr">
        <is>
          <t>Main Base</t>
        </is>
      </c>
      <c r="F275" s="28" t="inlineStr">
        <is>
          <t>Cape Town</t>
        </is>
      </c>
    </row>
    <row r="276" ht="28.95" customHeight="1">
      <c r="A276" s="201" t="n">
        <v>15</v>
      </c>
      <c r="B276" s="55" t="n">
        <v>1209</v>
      </c>
      <c r="C276" s="202" t="inlineStr">
        <is>
          <t>TFASA Engineering (Pearl Coral 1173 CC t/a)</t>
        </is>
      </c>
      <c r="D276" s="61" t="inlineStr">
        <is>
          <t>A, C &amp; E</t>
        </is>
      </c>
      <c r="E276" s="56" t="inlineStr">
        <is>
          <t>Main Base</t>
        </is>
      </c>
      <c r="F276" s="61" t="inlineStr">
        <is>
          <t>Oudtshoorn</t>
        </is>
      </c>
    </row>
    <row r="277" ht="16.5" customHeight="1">
      <c r="A277" s="199" t="n"/>
      <c r="B277" s="199" t="n"/>
      <c r="C277" s="199" t="n"/>
      <c r="D277" s="61" t="inlineStr">
        <is>
          <t>A, C &amp; E</t>
        </is>
      </c>
      <c r="E277" s="56" t="inlineStr">
        <is>
          <t>Satellite-Station</t>
        </is>
      </c>
      <c r="F277" s="61" t="inlineStr">
        <is>
          <t>Cape Town, George</t>
        </is>
      </c>
    </row>
    <row r="278" ht="16.5" customHeight="1">
      <c r="A278" s="200" t="n"/>
      <c r="B278" s="200" t="n"/>
      <c r="C278" s="200" t="n"/>
      <c r="D278" s="61" t="inlineStr">
        <is>
          <t>A, C, and E</t>
        </is>
      </c>
      <c r="E278" s="56" t="inlineStr">
        <is>
          <t>Satellite-Station</t>
        </is>
      </c>
      <c r="F278" s="61" t="inlineStr">
        <is>
          <t>Beaufort West</t>
        </is>
      </c>
    </row>
    <row r="279" ht="16.5" customHeight="1">
      <c r="A279" s="26" t="n">
        <v>16</v>
      </c>
      <c r="B279" s="26" t="n">
        <v>1439</v>
      </c>
      <c r="C279" s="37" t="inlineStr">
        <is>
          <t>Intergrated Avionic Solutions George</t>
        </is>
      </c>
      <c r="D279" s="28" t="inlineStr">
        <is>
          <t>W &amp; X</t>
        </is>
      </c>
      <c r="E279" s="37" t="inlineStr">
        <is>
          <t>Main Base</t>
        </is>
      </c>
      <c r="F279" s="28" t="inlineStr">
        <is>
          <t>George</t>
        </is>
      </c>
    </row>
    <row r="280" ht="16.5" customHeight="1">
      <c r="A280" s="201" t="n">
        <v>17</v>
      </c>
      <c r="B280" s="55" t="n">
        <v>1263</v>
      </c>
      <c r="C280" s="203" t="inlineStr">
        <is>
          <t>Heli-Air Aviation (Pty) Ltd</t>
        </is>
      </c>
      <c r="D280" s="61" t="inlineStr">
        <is>
          <t>B &amp; E</t>
        </is>
      </c>
      <c r="E280" s="56" t="inlineStr">
        <is>
          <t>Main Base</t>
        </is>
      </c>
      <c r="F280" s="61" t="inlineStr">
        <is>
          <t>Cape Town - Mossel Bay</t>
        </is>
      </c>
    </row>
    <row r="281" ht="16.5" customHeight="1">
      <c r="A281" s="200" t="n"/>
      <c r="B281" s="200" t="n"/>
      <c r="C281" s="200" t="n"/>
      <c r="D281" s="61" t="inlineStr">
        <is>
          <t>E</t>
        </is>
      </c>
      <c r="E281" s="56" t="inlineStr">
        <is>
          <t>Satellite-Station</t>
        </is>
      </c>
      <c r="F281" s="61" t="inlineStr">
        <is>
          <t>Kimberley</t>
        </is>
      </c>
    </row>
    <row r="282" ht="16.5" customHeight="1">
      <c r="A282" s="26" t="n">
        <v>18</v>
      </c>
      <c r="B282" s="26" t="n">
        <v>1097</v>
      </c>
      <c r="C282" s="37" t="inlineStr">
        <is>
          <t>AREF Avionics</t>
        </is>
      </c>
      <c r="D282" s="28" t="inlineStr">
        <is>
          <t>W &amp; X</t>
        </is>
      </c>
      <c r="E282" s="37" t="inlineStr">
        <is>
          <t>Main Base</t>
        </is>
      </c>
      <c r="F282" s="28" t="inlineStr">
        <is>
          <t>Port Alfred</t>
        </is>
      </c>
    </row>
    <row r="283" ht="16.5" customHeight="1">
      <c r="A283" s="26" t="n">
        <v>19</v>
      </c>
      <c r="B283" s="26" t="n">
        <v>196</v>
      </c>
      <c r="C283" s="37" t="inlineStr">
        <is>
          <t>SA Mooney Sales and Services CC</t>
        </is>
      </c>
      <c r="D283" s="28" t="inlineStr">
        <is>
          <t>A, B, C &amp; W</t>
        </is>
      </c>
      <c r="E283" s="37" t="inlineStr">
        <is>
          <t>Main Base</t>
        </is>
      </c>
      <c r="F283" s="28" t="inlineStr">
        <is>
          <t>Port Alfred</t>
        </is>
      </c>
    </row>
    <row r="284" ht="33" customHeight="1">
      <c r="A284" s="26" t="n">
        <v>20</v>
      </c>
      <c r="B284" s="26" t="n">
        <v>1216</v>
      </c>
      <c r="C284" s="50" t="inlineStr">
        <is>
          <t>MOBBS PROPERTIES CC T/A Aircraft Assembly
&amp; Upholstery Centre</t>
        </is>
      </c>
      <c r="D284" s="28" t="inlineStr">
        <is>
          <t>A; B; C &amp; W</t>
        </is>
      </c>
      <c r="E284" s="37" t="inlineStr">
        <is>
          <t>Main Base</t>
        </is>
      </c>
      <c r="F284" s="28" t="inlineStr">
        <is>
          <t>Port Elizabeth</t>
        </is>
      </c>
    </row>
    <row r="285" ht="33" customHeight="1">
      <c r="A285" s="55" t="n">
        <v>21</v>
      </c>
      <c r="B285" s="55" t="n">
        <v>1267</v>
      </c>
      <c r="C285" s="56" t="inlineStr">
        <is>
          <t>Sideslip Aviation Worx t/a Slideslip (Pty) ltd</t>
        </is>
      </c>
      <c r="D285" s="61" t="inlineStr">
        <is>
          <t>A, B, C, E &amp; W</t>
        </is>
      </c>
      <c r="E285" s="56" t="inlineStr">
        <is>
          <t>Main Base</t>
        </is>
      </c>
      <c r="F285" s="62" t="inlineStr">
        <is>
          <t>Cape Town - Morningstar
Airfield</t>
        </is>
      </c>
    </row>
    <row r="286" ht="16.5" customHeight="1">
      <c r="A286" s="201" t="n">
        <v>22</v>
      </c>
      <c r="B286" s="55" t="n">
        <v>49</v>
      </c>
      <c r="C286" s="204" t="inlineStr">
        <is>
          <t>Titanoffshore (Pty) Ltd</t>
        </is>
      </c>
      <c r="D286" s="61" t="inlineStr">
        <is>
          <t>A, B, C, E, W &amp; X</t>
        </is>
      </c>
      <c r="E286" s="56" t="inlineStr">
        <is>
          <t>Main Base</t>
        </is>
      </c>
      <c r="F286" s="61" t="inlineStr">
        <is>
          <t>George, Industrial Area</t>
        </is>
      </c>
    </row>
    <row r="287" ht="16.5" customHeight="1">
      <c r="A287" s="199" t="n"/>
      <c r="B287" s="199" t="n"/>
      <c r="C287" s="199" t="n"/>
      <c r="D287" s="61" t="inlineStr">
        <is>
          <t>E &amp; W</t>
        </is>
      </c>
      <c r="E287" s="56" t="inlineStr">
        <is>
          <t>Satellite-Station</t>
        </is>
      </c>
      <c r="F287" s="61" t="inlineStr">
        <is>
          <t>George Airport</t>
        </is>
      </c>
    </row>
    <row r="288" ht="16.5" customHeight="1">
      <c r="A288" s="200" t="n"/>
      <c r="B288" s="200" t="n"/>
      <c r="C288" s="200" t="n"/>
      <c r="D288" s="61" t="inlineStr">
        <is>
          <t>A, B, C, E, W &amp; X</t>
        </is>
      </c>
      <c r="E288" s="56" t="inlineStr">
        <is>
          <t>Satellite-Station</t>
        </is>
      </c>
      <c r="F288" s="61" t="inlineStr">
        <is>
          <t>Namibia - Oranjemund</t>
        </is>
      </c>
    </row>
    <row r="289" ht="16.5" customHeight="1">
      <c r="A289" s="26" t="n">
        <v>23</v>
      </c>
      <c r="B289" s="26" t="n">
        <v>224</v>
      </c>
      <c r="C289" s="37" t="inlineStr">
        <is>
          <t>Flicape (Pty) Ltd</t>
        </is>
      </c>
      <c r="D289" s="28" t="inlineStr">
        <is>
          <t>A, C &amp;  W</t>
        </is>
      </c>
      <c r="E289" s="37" t="inlineStr">
        <is>
          <t>Main Base</t>
        </is>
      </c>
      <c r="F289" s="28" t="inlineStr">
        <is>
          <t>Cape Town</t>
        </is>
      </c>
    </row>
    <row r="290" ht="16.5" customHeight="1">
      <c r="A290" s="205" t="n">
        <v>24</v>
      </c>
      <c r="B290" s="26" t="n">
        <v>1244</v>
      </c>
      <c r="C290" s="45" t="inlineStr">
        <is>
          <t>Douglas Aviation (Pty) LTD</t>
        </is>
      </c>
      <c r="D290" s="28" t="inlineStr">
        <is>
          <t>A, B, C &amp; D</t>
        </is>
      </c>
      <c r="E290" s="37" t="inlineStr">
        <is>
          <t>Main Base</t>
        </is>
      </c>
      <c r="F290" s="28" t="inlineStr">
        <is>
          <t>Port Elizabeth</t>
        </is>
      </c>
    </row>
    <row r="291" ht="16.5" customHeight="1">
      <c r="A291" s="200" t="n"/>
      <c r="B291" s="200" t="n"/>
      <c r="C291" s="200" t="n"/>
      <c r="D291" s="28" t="inlineStr">
        <is>
          <t>A &amp; C</t>
        </is>
      </c>
      <c r="E291" s="37" t="inlineStr">
        <is>
          <t>Satellite-Station</t>
        </is>
      </c>
      <c r="F291" s="28" t="inlineStr">
        <is>
          <t>Plattenberg Bay</t>
        </is>
      </c>
    </row>
    <row r="292" ht="16.5" customHeight="1">
      <c r="A292" s="26" t="n">
        <v>25</v>
      </c>
      <c r="B292" s="26" t="n">
        <v>909</v>
      </c>
      <c r="C292" s="37" t="inlineStr">
        <is>
          <t>Shadow Lite CC</t>
        </is>
      </c>
      <c r="D292" s="28" t="inlineStr">
        <is>
          <t>A, B, C &amp; Ds</t>
        </is>
      </c>
      <c r="E292" s="37" t="inlineStr">
        <is>
          <t>Main Base</t>
        </is>
      </c>
      <c r="F292" s="28" t="inlineStr">
        <is>
          <t>George</t>
        </is>
      </c>
    </row>
    <row r="293" ht="16.5" customHeight="1">
      <c r="A293" s="55" t="n">
        <v>26</v>
      </c>
      <c r="B293" s="55" t="n">
        <v>1422</v>
      </c>
      <c r="C293" s="56" t="inlineStr">
        <is>
          <t>RAW Maintenance</t>
        </is>
      </c>
      <c r="D293" s="61" t="inlineStr">
        <is>
          <t>A, B,C, E &amp; W</t>
        </is>
      </c>
      <c r="E293" s="56" t="inlineStr">
        <is>
          <t>Main Base</t>
        </is>
      </c>
      <c r="F293" s="61" t="inlineStr">
        <is>
          <t>Cape Town</t>
        </is>
      </c>
    </row>
    <row r="294" ht="16.5" customHeight="1">
      <c r="A294" s="26" t="n">
        <v>27</v>
      </c>
      <c r="B294" s="26" t="n">
        <v>918</v>
      </c>
      <c r="C294" s="37" t="inlineStr">
        <is>
          <t>Aircraft Instruments CC</t>
        </is>
      </c>
      <c r="D294" s="28" t="inlineStr">
        <is>
          <t>W &amp; X</t>
        </is>
      </c>
      <c r="E294" s="37" t="inlineStr">
        <is>
          <t>Main Base</t>
        </is>
      </c>
      <c r="F294" s="28" t="inlineStr">
        <is>
          <t>Cape Town</t>
        </is>
      </c>
    </row>
    <row r="295" ht="16.5" customHeight="1">
      <c r="A295" s="55" t="n">
        <v>28</v>
      </c>
      <c r="B295" s="55" t="n">
        <v>1424</v>
      </c>
      <c r="C295" s="56" t="inlineStr">
        <is>
          <t>North Cape Aviation</t>
        </is>
      </c>
      <c r="D295" s="61" t="inlineStr">
        <is>
          <t>E</t>
        </is>
      </c>
      <c r="E295" s="56" t="inlineStr">
        <is>
          <t>Main Base</t>
        </is>
      </c>
      <c r="F295" s="61" t="inlineStr">
        <is>
          <t>Kimberley</t>
        </is>
      </c>
    </row>
    <row r="296" ht="33" customHeight="1">
      <c r="A296" s="26" t="n">
        <v>29</v>
      </c>
      <c r="B296" s="26" t="n">
        <v>89</v>
      </c>
      <c r="C296" s="37" t="inlineStr">
        <is>
          <t>Progress Aviation (Pty) Ltd</t>
        </is>
      </c>
      <c r="D296" s="28" t="inlineStr">
        <is>
          <t>A, B &amp; C</t>
        </is>
      </c>
      <c r="E296" s="37" t="inlineStr">
        <is>
          <t>Main Base</t>
        </is>
      </c>
      <c r="F296" s="63" t="inlineStr">
        <is>
          <t>Port Elizabeth, Green
Bushes</t>
        </is>
      </c>
    </row>
    <row r="297" ht="33" customHeight="1">
      <c r="A297" s="26" t="n">
        <v>30</v>
      </c>
      <c r="B297" s="26" t="n">
        <v>23</v>
      </c>
      <c r="C297" s="50" t="inlineStr">
        <is>
          <t>Wineland Ballooning CC t/a Wineland Balloon
Workshop</t>
        </is>
      </c>
      <c r="D297" s="28" t="inlineStr">
        <is>
          <t>A &amp; B</t>
        </is>
      </c>
      <c r="E297" s="37" t="inlineStr">
        <is>
          <t>Main Base</t>
        </is>
      </c>
      <c r="F297" s="28" t="inlineStr">
        <is>
          <t>Cape Town, Paarl</t>
        </is>
      </c>
    </row>
    <row r="298" ht="16.5" customHeight="1">
      <c r="A298" s="55" t="n">
        <v>31</v>
      </c>
      <c r="B298" s="55" t="n">
        <v>222</v>
      </c>
      <c r="C298" s="56" t="inlineStr">
        <is>
          <t>Air Hart Aircraft CC.</t>
        </is>
      </c>
      <c r="D298" s="61" t="inlineStr">
        <is>
          <t>A, B, C, D, E, W &amp; X</t>
        </is>
      </c>
      <c r="E298" s="56" t="inlineStr">
        <is>
          <t>Main Base</t>
        </is>
      </c>
      <c r="F298" s="61" t="inlineStr">
        <is>
          <t>East London</t>
        </is>
      </c>
    </row>
    <row r="299" ht="16.5" customHeight="1">
      <c r="A299" s="26" t="n">
        <v>32</v>
      </c>
      <c r="B299" s="26" t="n">
        <v>1605</v>
      </c>
      <c r="C299" s="37" t="inlineStr">
        <is>
          <t>Bay Aircraft Services</t>
        </is>
      </c>
      <c r="D299" s="28" t="inlineStr">
        <is>
          <t>A,B,C &amp; W</t>
        </is>
      </c>
      <c r="E299" s="37" t="inlineStr">
        <is>
          <t>Main Base</t>
        </is>
      </c>
      <c r="F299" s="28" t="inlineStr">
        <is>
          <t>Port Elizabeth</t>
        </is>
      </c>
    </row>
    <row r="300" ht="16.5" customHeight="1">
      <c r="A300" s="26" t="n">
        <v>33</v>
      </c>
      <c r="B300" s="26" t="n">
        <v>172</v>
      </c>
      <c r="C300" s="37" t="inlineStr">
        <is>
          <t>Aquila Air Services</t>
        </is>
      </c>
      <c r="D300" s="28" t="inlineStr">
        <is>
          <t>A, B, C &amp; W</t>
        </is>
      </c>
      <c r="E300" s="37" t="inlineStr">
        <is>
          <t>Main Base</t>
        </is>
      </c>
      <c r="F300" s="28" t="inlineStr">
        <is>
          <t>George</t>
        </is>
      </c>
    </row>
    <row r="301" ht="16.5" customHeight="1">
      <c r="A301" s="26" t="n">
        <v>34</v>
      </c>
      <c r="B301" s="26" t="n">
        <v>182</v>
      </c>
      <c r="C301" s="37" t="inlineStr">
        <is>
          <t>Stellair CC</t>
        </is>
      </c>
      <c r="D301" s="28" t="inlineStr">
        <is>
          <t>A, B, C, W &amp; X</t>
        </is>
      </c>
      <c r="E301" s="37" t="inlineStr">
        <is>
          <t>Main Base</t>
        </is>
      </c>
      <c r="F301" s="28" t="inlineStr">
        <is>
          <t>Stellenbosch</t>
        </is>
      </c>
    </row>
    <row r="302" ht="16.5" customHeight="1">
      <c r="A302" s="55" t="n">
        <v>35</v>
      </c>
      <c r="B302" s="55" t="n">
        <v>1020</v>
      </c>
      <c r="C302" s="56" t="inlineStr">
        <is>
          <t>Sport  Aviation</t>
        </is>
      </c>
      <c r="D302" s="61" t="inlineStr">
        <is>
          <t>E</t>
        </is>
      </c>
      <c r="E302" s="56" t="inlineStr">
        <is>
          <t>Main Base</t>
        </is>
      </c>
      <c r="F302" s="61" t="inlineStr">
        <is>
          <t>Cape Town</t>
        </is>
      </c>
    </row>
    <row r="303" ht="16.5" customHeight="1">
      <c r="A303" s="55" t="n">
        <v>36</v>
      </c>
      <c r="B303" s="55" t="n">
        <v>1309</v>
      </c>
      <c r="C303" s="56" t="inlineStr">
        <is>
          <t>Rotary Air Force SA Pty Ltd</t>
        </is>
      </c>
      <c r="D303" s="61" t="inlineStr">
        <is>
          <t>A, C, D, E, W &amp; X</t>
        </is>
      </c>
      <c r="E303" s="56" t="inlineStr">
        <is>
          <t>Main Base</t>
        </is>
      </c>
      <c r="F303" s="61" t="inlineStr">
        <is>
          <t>Upington</t>
        </is>
      </c>
    </row>
    <row r="304" ht="16.5" customHeight="1">
      <c r="A304" s="26" t="n">
        <v>38</v>
      </c>
      <c r="B304" s="26" t="n">
        <v>1530</v>
      </c>
      <c r="C304" s="37" t="inlineStr">
        <is>
          <t>Saliwavikwa t/a AMT</t>
        </is>
      </c>
      <c r="D304" s="28" t="inlineStr">
        <is>
          <t>A, B &amp; C</t>
        </is>
      </c>
      <c r="E304" s="37" t="inlineStr">
        <is>
          <t>Main Base</t>
        </is>
      </c>
      <c r="F304" s="28" t="inlineStr">
        <is>
          <t>Port Alfred</t>
        </is>
      </c>
    </row>
    <row r="305" ht="16.5" customHeight="1">
      <c r="A305" s="26" t="n">
        <v>39</v>
      </c>
      <c r="B305" s="26" t="n">
        <v>1085</v>
      </c>
      <c r="C305" s="37" t="inlineStr">
        <is>
          <t>Omnipless Manufacturing (Pty) Ltd</t>
        </is>
      </c>
      <c r="D305" s="28" t="inlineStr">
        <is>
          <t>X AND B</t>
        </is>
      </c>
      <c r="E305" s="37" t="inlineStr">
        <is>
          <t>Main Base</t>
        </is>
      </c>
      <c r="F305" s="28" t="inlineStr">
        <is>
          <t>Capetown, Westlake</t>
        </is>
      </c>
    </row>
    <row r="306" ht="16.5" customHeight="1">
      <c r="A306" s="26" t="n">
        <v>41</v>
      </c>
      <c r="B306" s="26" t="n">
        <v>1522</v>
      </c>
      <c r="C306" s="45" t="inlineStr">
        <is>
          <t>British Airways Engineering</t>
        </is>
      </c>
      <c r="D306" s="28" t="inlineStr">
        <is>
          <t>A,C &amp; W</t>
        </is>
      </c>
      <c r="E306" s="37" t="inlineStr">
        <is>
          <t>Main Base</t>
        </is>
      </c>
      <c r="F306" s="28" t="inlineStr">
        <is>
          <t>UK</t>
        </is>
      </c>
    </row>
    <row r="307" ht="16.5" customHeight="1">
      <c r="A307" s="26" t="n">
        <v>42</v>
      </c>
      <c r="B307" s="199" t="n"/>
      <c r="C307" s="199" t="n"/>
      <c r="D307" s="28" t="inlineStr">
        <is>
          <t>A,C &amp; W</t>
        </is>
      </c>
      <c r="E307" s="37" t="inlineStr">
        <is>
          <t>Satellite-Station</t>
        </is>
      </c>
      <c r="F307" s="28" t="inlineStr">
        <is>
          <t>Nigeria - Lagos</t>
        </is>
      </c>
    </row>
    <row r="308" ht="16.5" customHeight="1">
      <c r="A308" s="26" t="n">
        <v>43</v>
      </c>
      <c r="B308" s="200" t="n"/>
      <c r="C308" s="200" t="n"/>
      <c r="D308" s="28" t="inlineStr">
        <is>
          <t>A,C &amp; W</t>
        </is>
      </c>
      <c r="E308" s="37" t="inlineStr">
        <is>
          <t>Satellite-Station</t>
        </is>
      </c>
      <c r="F308" s="28" t="inlineStr">
        <is>
          <t>USA- Washington</t>
        </is>
      </c>
    </row>
    <row r="309" ht="16.5" customHeight="1">
      <c r="A309" s="26" t="n">
        <v>44</v>
      </c>
      <c r="B309" s="26" t="n">
        <v>1399</v>
      </c>
      <c r="C309" s="37" t="inlineStr">
        <is>
          <t>GE Aircraft Engine Services</t>
        </is>
      </c>
      <c r="D309" s="28" t="inlineStr">
        <is>
          <t>C,D &amp; Special processes</t>
        </is>
      </c>
      <c r="E309" s="37" t="inlineStr">
        <is>
          <t>Main Base</t>
        </is>
      </c>
      <c r="F309" s="28" t="inlineStr">
        <is>
          <t>UK</t>
        </is>
      </c>
    </row>
    <row r="310" ht="28.95" customHeight="1">
      <c r="A310" s="26" t="n">
        <v>45</v>
      </c>
      <c r="B310" s="26" t="n">
        <v>1340</v>
      </c>
      <c r="C310" s="37" t="inlineStr">
        <is>
          <t>Dassault Falcon  Service</t>
        </is>
      </c>
      <c r="D310" s="28" t="inlineStr">
        <is>
          <t>A,B, C, D, W, X, NDT &amp; Special Processes</t>
        </is>
      </c>
      <c r="E310" s="37" t="inlineStr">
        <is>
          <t>Main Base</t>
        </is>
      </c>
      <c r="F310" s="28" t="inlineStr">
        <is>
          <t>France</t>
        </is>
      </c>
    </row>
    <row r="311" ht="16.5" customHeight="1">
      <c r="A311" s="26" t="n">
        <v>46</v>
      </c>
      <c r="B311" s="26" t="n">
        <v>1529</v>
      </c>
      <c r="C311" s="37" t="inlineStr">
        <is>
          <t>Cathay Pacific</t>
        </is>
      </c>
      <c r="D311" s="28" t="inlineStr">
        <is>
          <t>A,C &amp; W</t>
        </is>
      </c>
      <c r="E311" s="37" t="inlineStr">
        <is>
          <t>Main Base</t>
        </is>
      </c>
      <c r="F311" s="28" t="inlineStr">
        <is>
          <t>China, Hong Kong</t>
        </is>
      </c>
    </row>
  </sheetData>
  <autoFilter ref="A2:F311"/>
  <mergeCells count="28">
    <mergeCell ref="C257:C259"/>
    <mergeCell ref="A266:A269"/>
    <mergeCell ref="C266:C269"/>
    <mergeCell ref="C84:C90"/>
    <mergeCell ref="B257:B259"/>
    <mergeCell ref="C280:C281"/>
    <mergeCell ref="B306:B308"/>
    <mergeCell ref="C290:C291"/>
    <mergeCell ref="B84:B90"/>
    <mergeCell ref="A264:A265"/>
    <mergeCell ref="B290:B291"/>
    <mergeCell ref="A257:A259"/>
    <mergeCell ref="A276:A278"/>
    <mergeCell ref="B286:B288"/>
    <mergeCell ref="B276:B278"/>
    <mergeCell ref="C306:C308"/>
    <mergeCell ref="A280:A281"/>
    <mergeCell ref="E85:E90"/>
    <mergeCell ref="A290:A291"/>
    <mergeCell ref="B266:B269"/>
    <mergeCell ref="C264:C265"/>
    <mergeCell ref="A286:A288"/>
    <mergeCell ref="C286:C288"/>
    <mergeCell ref="A84:A90"/>
    <mergeCell ref="B280:B281"/>
    <mergeCell ref="A1:F1"/>
    <mergeCell ref="C276:C278"/>
    <mergeCell ref="B264:B265"/>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C1000"/>
  <sheetViews>
    <sheetView workbookViewId="0">
      <selection activeCell="A1" sqref="A1"/>
    </sheetView>
    <sheetView workbookViewId="1">
      <selection activeCell="A1" sqref="A1"/>
    </sheetView>
  </sheetViews>
  <sheetFormatPr baseColWidth="8" defaultColWidth="8.69921875" defaultRowHeight="13.8"/>
  <cols>
    <col width="9.19921875" customWidth="1" min="1" max="1"/>
    <col width="9.19921875" bestFit="1" customWidth="1" min="2" max="2"/>
  </cols>
  <sheetData>
    <row r="1">
      <c r="A1" s="7" t="inlineStr">
        <is>
          <t>C_ID</t>
        </is>
      </c>
      <c r="B1" s="3" t="inlineStr">
        <is>
          <t>Company</t>
        </is>
      </c>
      <c r="C1" t="inlineStr">
        <is>
          <t>Code</t>
        </is>
      </c>
    </row>
    <row r="2">
      <c r="A2" s="6">
        <f>IFERROR(VLOOKUP($B2,Company_Cat!$B$2:$E$623,2,FALSE),"")</f>
        <v/>
      </c>
      <c r="B2" s="4" t="n"/>
      <c r="C2" s="4" t="n"/>
    </row>
    <row r="3">
      <c r="A3" s="6">
        <f>IFERROR(VLOOKUP($B3,Company_Cat!$B$2:$E$623,2,FALSE),"")</f>
        <v/>
      </c>
      <c r="B3" s="4" t="n"/>
    </row>
    <row r="4">
      <c r="A4" s="6">
        <f>IFERROR(VLOOKUP($B4,Company_Cat!$B$2:$E$623,2,FALSE),"")</f>
        <v/>
      </c>
      <c r="B4" s="4" t="n"/>
    </row>
    <row r="5">
      <c r="A5" s="6">
        <f>IFERROR(VLOOKUP($B5,Company_Cat!$B$2:$E$623,2,FALSE),"")</f>
        <v/>
      </c>
      <c r="B5" s="4" t="n"/>
    </row>
    <row r="6">
      <c r="A6" s="6">
        <f>IFERROR(VLOOKUP($B6,Company_Cat!$B$2:$E$623,2,FALSE),"")</f>
        <v/>
      </c>
      <c r="B6" s="4" t="n"/>
    </row>
    <row r="7">
      <c r="A7" s="6">
        <f>IFERROR(VLOOKUP($B7,Company_Cat!$B$2:$E$623,2,FALSE),"")</f>
        <v/>
      </c>
      <c r="B7" s="4" t="n"/>
    </row>
    <row r="8">
      <c r="A8" s="6">
        <f>IFERROR(VLOOKUP($B8,Company_Cat!$B$2:$E$623,2,FALSE),"")</f>
        <v/>
      </c>
      <c r="B8" s="4" t="n"/>
    </row>
    <row r="9">
      <c r="A9" s="6">
        <f>IFERROR(VLOOKUP($B9,Company_Cat!$B$2:$E$623,2,FALSE),"")</f>
        <v/>
      </c>
      <c r="B9" s="4" t="n"/>
    </row>
    <row r="10">
      <c r="A10" s="6">
        <f>IFERROR(VLOOKUP($B10,Company_Cat!$B$2:$E$623,2,FALSE),"")</f>
        <v/>
      </c>
      <c r="B10" s="4" t="n"/>
    </row>
    <row r="11">
      <c r="A11" s="6">
        <f>IFERROR(VLOOKUP($B11,Company_Cat!$B$2:$E$623,2,FALSE),"")</f>
        <v/>
      </c>
      <c r="B11" s="4" t="n"/>
    </row>
    <row r="12">
      <c r="A12" s="6">
        <f>IFERROR(VLOOKUP($B12,Company_Cat!$B$2:$E$623,2,FALSE),"")</f>
        <v/>
      </c>
      <c r="B12" s="4" t="n"/>
    </row>
    <row r="13">
      <c r="A13" s="6">
        <f>IFERROR(VLOOKUP($B13,Company_Cat!$B$2:$E$623,2,FALSE),"")</f>
        <v/>
      </c>
      <c r="B13" s="4" t="n"/>
    </row>
    <row r="14">
      <c r="A14" s="6">
        <f>IFERROR(VLOOKUP($B14,Company_Cat!$B$2:$E$623,2,FALSE),"")</f>
        <v/>
      </c>
      <c r="B14" s="4" t="n"/>
    </row>
    <row r="15">
      <c r="A15" s="6">
        <f>IFERROR(VLOOKUP($B15,Company_Cat!$B$2:$E$623,2,FALSE),"")</f>
        <v/>
      </c>
      <c r="B15" s="4" t="n"/>
    </row>
    <row r="16">
      <c r="A16" s="6">
        <f>IFERROR(VLOOKUP($B16,Company_Cat!$B$2:$E$623,2,FALSE),"")</f>
        <v/>
      </c>
      <c r="B16" s="4" t="n"/>
    </row>
    <row r="17">
      <c r="A17" s="6">
        <f>IFERROR(VLOOKUP($B17,Company_Cat!$B$2:$E$623,2,FALSE),"")</f>
        <v/>
      </c>
      <c r="B17" s="4" t="n"/>
    </row>
    <row r="18">
      <c r="A18" s="6">
        <f>IFERROR(VLOOKUP($B18,Company_Cat!$B$2:$E$623,2,FALSE),"")</f>
        <v/>
      </c>
      <c r="B18" s="4" t="n"/>
    </row>
    <row r="19">
      <c r="A19" s="6">
        <f>IFERROR(VLOOKUP($B19,Company_Cat!$B$2:$E$623,2,FALSE),"")</f>
        <v/>
      </c>
      <c r="B19" s="4" t="n"/>
    </row>
    <row r="20">
      <c r="A20" s="6">
        <f>IFERROR(VLOOKUP($B20,Company_Cat!$B$2:$E$623,2,FALSE),"")</f>
        <v/>
      </c>
      <c r="B20" s="4" t="n"/>
    </row>
    <row r="21">
      <c r="A21" s="6">
        <f>IFERROR(VLOOKUP($B21,Company_Cat!$B$2:$E$623,2,FALSE),"")</f>
        <v/>
      </c>
      <c r="B21" s="4" t="n"/>
    </row>
    <row r="22">
      <c r="A22" s="6">
        <f>IFERROR(VLOOKUP($B22,Company_Cat!$B$2:$E$623,2,FALSE),"")</f>
        <v/>
      </c>
      <c r="B22" s="4" t="n"/>
    </row>
    <row r="23">
      <c r="A23" s="6">
        <f>IFERROR(VLOOKUP($B23,Company_Cat!$B$2:$E$623,2,FALSE),"")</f>
        <v/>
      </c>
      <c r="B23" s="4" t="n"/>
    </row>
    <row r="24">
      <c r="A24" s="6">
        <f>IFERROR(VLOOKUP($B24,Company_Cat!$B$2:$E$623,2,FALSE),"")</f>
        <v/>
      </c>
      <c r="B24" s="4" t="n"/>
    </row>
    <row r="25">
      <c r="A25" s="6">
        <f>IFERROR(VLOOKUP($B25,Company_Cat!$B$2:$E$623,2,FALSE),"")</f>
        <v/>
      </c>
      <c r="B25" s="4" t="n"/>
    </row>
    <row r="26">
      <c r="A26" s="6">
        <f>IFERROR(VLOOKUP($B26,Company_Cat!$B$2:$E$623,2,FALSE),"")</f>
        <v/>
      </c>
      <c r="B26" s="4" t="n"/>
    </row>
    <row r="27">
      <c r="A27" s="6">
        <f>IFERROR(VLOOKUP($B27,Company_Cat!$B$2:$E$623,2,FALSE),"")</f>
        <v/>
      </c>
      <c r="B27" s="4" t="n"/>
    </row>
    <row r="28">
      <c r="A28" s="6">
        <f>IFERROR(VLOOKUP($B28,Company_Cat!$B$2:$E$623,2,FALSE),"")</f>
        <v/>
      </c>
      <c r="B28" s="4" t="n"/>
    </row>
    <row r="29">
      <c r="A29" s="6">
        <f>IFERROR(VLOOKUP($B29,Company_Cat!$B$2:$E$623,2,FALSE),"")</f>
        <v/>
      </c>
      <c r="B29" s="4" t="n"/>
    </row>
    <row r="30">
      <c r="A30" s="6">
        <f>IFERROR(VLOOKUP($B30,Company_Cat!$B$2:$E$623,2,FALSE),"")</f>
        <v/>
      </c>
      <c r="B30" s="4" t="n"/>
    </row>
    <row r="31">
      <c r="A31" s="6">
        <f>IFERROR(VLOOKUP($B31,Company_Cat!$B$2:$E$623,2,FALSE),"")</f>
        <v/>
      </c>
      <c r="B31" s="4" t="n"/>
    </row>
    <row r="32">
      <c r="A32" s="6">
        <f>IFERROR(VLOOKUP($B32,Company_Cat!$B$2:$E$623,2,FALSE),"")</f>
        <v/>
      </c>
      <c r="B32" s="4" t="n"/>
    </row>
    <row r="33">
      <c r="A33" s="6">
        <f>IFERROR(VLOOKUP($B33,Company_Cat!$B$2:$E$623,2,FALSE),"")</f>
        <v/>
      </c>
      <c r="B33" s="4" t="n"/>
    </row>
    <row r="34">
      <c r="A34" s="6">
        <f>IFERROR(VLOOKUP($B34,Company_Cat!$B$2:$E$623,2,FALSE),"")</f>
        <v/>
      </c>
      <c r="B34" s="4" t="n"/>
    </row>
    <row r="35">
      <c r="A35" s="6">
        <f>IFERROR(VLOOKUP($B35,Company_Cat!$B$2:$E$623,2,FALSE),"")</f>
        <v/>
      </c>
      <c r="B35" s="4" t="n"/>
    </row>
    <row r="36">
      <c r="A36" s="6">
        <f>IFERROR(VLOOKUP($B36,Company_Cat!$B$2:$E$623,2,FALSE),"")</f>
        <v/>
      </c>
      <c r="B36" s="4" t="n"/>
    </row>
    <row r="37">
      <c r="A37" s="6">
        <f>IFERROR(VLOOKUP($B37,Company_Cat!$B$2:$E$623,2,FALSE),"")</f>
        <v/>
      </c>
      <c r="B37" s="4" t="n"/>
    </row>
    <row r="38">
      <c r="A38" s="6">
        <f>IFERROR(VLOOKUP($B38,Company_Cat!$B$2:$E$623,2,FALSE),"")</f>
        <v/>
      </c>
      <c r="B38" s="4" t="n"/>
    </row>
    <row r="39">
      <c r="A39" s="6">
        <f>IFERROR(VLOOKUP($B39,Company_Cat!$B$2:$E$623,2,FALSE),"")</f>
        <v/>
      </c>
      <c r="B39" s="4" t="n"/>
    </row>
    <row r="40">
      <c r="A40" s="6">
        <f>IFERROR(VLOOKUP($B40,Company_Cat!$B$2:$E$623,2,FALSE),"")</f>
        <v/>
      </c>
      <c r="B40" s="4" t="n"/>
    </row>
    <row r="41">
      <c r="A41" s="6">
        <f>IFERROR(VLOOKUP($B41,Company_Cat!$B$2:$E$623,2,FALSE),"")</f>
        <v/>
      </c>
      <c r="B41" s="4" t="n"/>
    </row>
    <row r="42">
      <c r="A42" s="6">
        <f>IFERROR(VLOOKUP($B42,Company_Cat!$B$2:$E$623,2,FALSE),"")</f>
        <v/>
      </c>
      <c r="B42" s="4" t="n"/>
    </row>
    <row r="43">
      <c r="A43" s="6">
        <f>IFERROR(VLOOKUP($B43,Company_Cat!$B$2:$E$623,2,FALSE),"")</f>
        <v/>
      </c>
      <c r="B43" s="4" t="n"/>
    </row>
    <row r="44">
      <c r="A44" s="6">
        <f>IFERROR(VLOOKUP($B44,Company_Cat!$B$2:$E$623,2,FALSE),"")</f>
        <v/>
      </c>
      <c r="B44" s="4" t="n"/>
    </row>
    <row r="45">
      <c r="A45" s="6">
        <f>IFERROR(VLOOKUP($B45,Company_Cat!$B$2:$E$623,2,FALSE),"")</f>
        <v/>
      </c>
      <c r="B45" s="4" t="n"/>
    </row>
    <row r="46">
      <c r="A46" s="6">
        <f>IFERROR(VLOOKUP($B46,Company_Cat!$B$2:$E$623,2,FALSE),"")</f>
        <v/>
      </c>
      <c r="B46" s="4" t="n"/>
    </row>
    <row r="47">
      <c r="A47" s="6">
        <f>IFERROR(VLOOKUP($B47,Company_Cat!$B$2:$E$623,2,FALSE),"")</f>
        <v/>
      </c>
      <c r="B47" s="4" t="n"/>
    </row>
    <row r="48">
      <c r="A48" s="6">
        <f>IFERROR(VLOOKUP($B48,Company_Cat!$B$2:$E$623,2,FALSE),"")</f>
        <v/>
      </c>
      <c r="B48" s="4" t="n"/>
    </row>
    <row r="49">
      <c r="A49" s="6">
        <f>IFERROR(VLOOKUP($B49,Company_Cat!$B$2:$E$623,2,FALSE),"")</f>
        <v/>
      </c>
      <c r="B49" s="4" t="n"/>
    </row>
    <row r="50">
      <c r="A50" s="6">
        <f>IFERROR(VLOOKUP($B50,Company_Cat!$B$2:$E$623,2,FALSE),"")</f>
        <v/>
      </c>
      <c r="B50" s="4" t="n"/>
    </row>
    <row r="51">
      <c r="A51" s="6">
        <f>IFERROR(VLOOKUP($B51,Company_Cat!$B$2:$E$623,2,FALSE),"")</f>
        <v/>
      </c>
      <c r="B51" s="4" t="n"/>
    </row>
    <row r="52">
      <c r="A52" s="6">
        <f>IFERROR(VLOOKUP($B52,Company_Cat!$B$2:$E$623,2,FALSE),"")</f>
        <v/>
      </c>
      <c r="B52" s="4" t="n"/>
    </row>
    <row r="53">
      <c r="A53" s="6">
        <f>IFERROR(VLOOKUP($B53,Company_Cat!$B$2:$E$623,2,FALSE),"")</f>
        <v/>
      </c>
      <c r="B53" s="4" t="n"/>
    </row>
    <row r="54">
      <c r="A54" s="6">
        <f>IFERROR(VLOOKUP($B54,Company_Cat!$B$2:$E$623,2,FALSE),"")</f>
        <v/>
      </c>
      <c r="B54" s="4" t="n"/>
    </row>
    <row r="55">
      <c r="A55" s="6">
        <f>IFERROR(VLOOKUP($B55,Company_Cat!$B$2:$E$623,2,FALSE),"")</f>
        <v/>
      </c>
      <c r="B55" s="4" t="n"/>
    </row>
    <row r="56">
      <c r="A56" s="6">
        <f>IFERROR(VLOOKUP($B56,Company_Cat!$B$2:$E$623,2,FALSE),"")</f>
        <v/>
      </c>
      <c r="B56" s="4" t="n"/>
    </row>
    <row r="57">
      <c r="A57" s="6">
        <f>IFERROR(VLOOKUP($B57,Company_Cat!$B$2:$E$623,2,FALSE),"")</f>
        <v/>
      </c>
      <c r="B57" s="4" t="n"/>
    </row>
    <row r="58">
      <c r="A58" s="6">
        <f>IFERROR(VLOOKUP($B58,Company_Cat!$B$2:$E$623,2,FALSE),"")</f>
        <v/>
      </c>
      <c r="B58" s="4" t="n"/>
    </row>
    <row r="59">
      <c r="A59" s="6">
        <f>IFERROR(VLOOKUP($B59,Company_Cat!$B$2:$E$623,2,FALSE),"")</f>
        <v/>
      </c>
      <c r="B59" s="4" t="n"/>
    </row>
    <row r="60">
      <c r="A60" s="6">
        <f>IFERROR(VLOOKUP($B60,Company_Cat!$B$2:$E$623,2,FALSE),"")</f>
        <v/>
      </c>
      <c r="B60" s="4" t="n"/>
    </row>
    <row r="61">
      <c r="A61" s="6">
        <f>IFERROR(VLOOKUP($B61,Company_Cat!$B$2:$E$623,2,FALSE),"")</f>
        <v/>
      </c>
      <c r="B61" s="4" t="n"/>
    </row>
    <row r="62">
      <c r="A62" s="6">
        <f>IFERROR(VLOOKUP($B62,Company_Cat!$B$2:$E$623,2,FALSE),"")</f>
        <v/>
      </c>
      <c r="B62" s="4" t="n"/>
    </row>
    <row r="63">
      <c r="A63" s="6">
        <f>IFERROR(VLOOKUP($B63,Company_Cat!$B$2:$E$623,2,FALSE),"")</f>
        <v/>
      </c>
      <c r="B63" s="4" t="n"/>
    </row>
    <row r="64">
      <c r="A64" s="6">
        <f>IFERROR(VLOOKUP($B64,Company_Cat!$B$2:$E$623,2,FALSE),"")</f>
        <v/>
      </c>
      <c r="B64" s="4" t="n"/>
    </row>
    <row r="65">
      <c r="A65" s="6">
        <f>IFERROR(VLOOKUP($B65,Company_Cat!$B$2:$E$623,2,FALSE),"")</f>
        <v/>
      </c>
      <c r="B65" s="4" t="n"/>
    </row>
    <row r="66">
      <c r="A66" s="6">
        <f>IFERROR(VLOOKUP($B66,Company_Cat!$B$2:$E$623,2,FALSE),"")</f>
        <v/>
      </c>
      <c r="B66" s="4" t="n"/>
    </row>
    <row r="67">
      <c r="A67" s="6">
        <f>IFERROR(VLOOKUP($B67,Company_Cat!$B$2:$E$623,2,FALSE),"")</f>
        <v/>
      </c>
      <c r="B67" s="4" t="n"/>
    </row>
    <row r="68">
      <c r="A68" s="6">
        <f>IFERROR(VLOOKUP($B68,Company_Cat!$B$2:$E$623,2,FALSE),"")</f>
        <v/>
      </c>
      <c r="B68" s="4" t="n"/>
    </row>
    <row r="69">
      <c r="A69" s="6">
        <f>IFERROR(VLOOKUP($B69,Company_Cat!$B$2:$E$623,2,FALSE),"")</f>
        <v/>
      </c>
      <c r="B69" s="4" t="n"/>
    </row>
    <row r="70">
      <c r="A70" s="6">
        <f>IFERROR(VLOOKUP($B70,Company_Cat!$B$2:$E$623,2,FALSE),"")</f>
        <v/>
      </c>
      <c r="B70" s="4" t="n"/>
    </row>
    <row r="71">
      <c r="A71" s="6">
        <f>IFERROR(VLOOKUP($B71,Company_Cat!$B$2:$E$623,2,FALSE),"")</f>
        <v/>
      </c>
      <c r="B71" s="4" t="n"/>
    </row>
    <row r="72">
      <c r="A72" s="6">
        <f>IFERROR(VLOOKUP($B72,Company_Cat!$B$2:$E$623,2,FALSE),"")</f>
        <v/>
      </c>
      <c r="B72" s="4" t="n"/>
    </row>
    <row r="73">
      <c r="A73" s="6">
        <f>IFERROR(VLOOKUP($B73,Company_Cat!$B$2:$E$623,2,FALSE),"")</f>
        <v/>
      </c>
      <c r="B73" s="4" t="n"/>
    </row>
    <row r="74">
      <c r="A74" s="6">
        <f>IFERROR(VLOOKUP($B74,Company_Cat!$B$2:$E$623,2,FALSE),"")</f>
        <v/>
      </c>
      <c r="B74" s="4" t="n"/>
    </row>
    <row r="75">
      <c r="A75" s="6">
        <f>IFERROR(VLOOKUP($B75,Company_Cat!$B$2:$E$623,2,FALSE),"")</f>
        <v/>
      </c>
      <c r="B75" s="4" t="n"/>
    </row>
    <row r="76">
      <c r="A76" s="6">
        <f>IFERROR(VLOOKUP($B76,Company_Cat!$B$2:$E$623,2,FALSE),"")</f>
        <v/>
      </c>
      <c r="B76" s="4" t="n"/>
    </row>
    <row r="77">
      <c r="A77" s="6">
        <f>IFERROR(VLOOKUP($B77,Company_Cat!$B$2:$E$623,2,FALSE),"")</f>
        <v/>
      </c>
      <c r="B77" s="4" t="n"/>
    </row>
    <row r="78">
      <c r="A78" s="6">
        <f>IFERROR(VLOOKUP($B78,Company_Cat!$B$2:$E$623,2,FALSE),"")</f>
        <v/>
      </c>
      <c r="B78" s="4" t="n"/>
    </row>
    <row r="79">
      <c r="A79" s="6">
        <f>IFERROR(VLOOKUP($B79,Company_Cat!$B$2:$E$623,2,FALSE),"")</f>
        <v/>
      </c>
      <c r="B79" s="4" t="n"/>
    </row>
    <row r="80">
      <c r="A80" s="6">
        <f>IFERROR(VLOOKUP($B80,Company_Cat!$B$2:$E$623,2,FALSE),"")</f>
        <v/>
      </c>
      <c r="B80" s="4" t="n"/>
    </row>
    <row r="81">
      <c r="A81" s="6">
        <f>IFERROR(VLOOKUP($B81,Company_Cat!$B$2:$E$623,2,FALSE),"")</f>
        <v/>
      </c>
      <c r="B81" s="4" t="n"/>
    </row>
    <row r="82">
      <c r="A82" s="6">
        <f>IFERROR(VLOOKUP($B82,Company_Cat!$B$2:$E$623,2,FALSE),"")</f>
        <v/>
      </c>
      <c r="B82" s="4" t="n"/>
    </row>
    <row r="83">
      <c r="A83" s="6">
        <f>IFERROR(VLOOKUP($B83,Company_Cat!$B$2:$E$623,2,FALSE),"")</f>
        <v/>
      </c>
      <c r="B83" s="4" t="n"/>
    </row>
    <row r="84">
      <c r="A84" s="6">
        <f>IFERROR(VLOOKUP($B84,Company_Cat!$B$2:$E$623,2,FALSE),"")</f>
        <v/>
      </c>
      <c r="B84" s="4" t="n"/>
    </row>
    <row r="85">
      <c r="A85" s="6">
        <f>IFERROR(VLOOKUP($B85,Company_Cat!$B$2:$E$623,2,FALSE),"")</f>
        <v/>
      </c>
      <c r="B85" s="4" t="n"/>
    </row>
    <row r="86">
      <c r="A86" s="6">
        <f>IFERROR(VLOOKUP($B86,Company_Cat!$B$2:$E$623,2,FALSE),"")</f>
        <v/>
      </c>
      <c r="B86" s="4" t="n"/>
    </row>
    <row r="87">
      <c r="A87" s="6">
        <f>IFERROR(VLOOKUP($B87,Company_Cat!$B$2:$E$623,2,FALSE),"")</f>
        <v/>
      </c>
      <c r="B87" s="4" t="n"/>
    </row>
    <row r="88">
      <c r="A88" s="6">
        <f>IFERROR(VLOOKUP($B88,Company_Cat!$B$2:$E$623,2,FALSE),"")</f>
        <v/>
      </c>
      <c r="B88" s="4" t="n"/>
    </row>
    <row r="89">
      <c r="A89" s="6">
        <f>IFERROR(VLOOKUP($B89,Company_Cat!$B$2:$E$623,2,FALSE),"")</f>
        <v/>
      </c>
      <c r="B89" s="4" t="n"/>
    </row>
    <row r="90">
      <c r="A90" s="6">
        <f>IFERROR(VLOOKUP($B90,Company_Cat!$B$2:$E$623,2,FALSE),"")</f>
        <v/>
      </c>
      <c r="B90" s="4" t="n"/>
    </row>
    <row r="91">
      <c r="A91" s="6">
        <f>IFERROR(VLOOKUP($B91,Company_Cat!$B$2:$E$623,2,FALSE),"")</f>
        <v/>
      </c>
      <c r="B91" s="4" t="n"/>
    </row>
    <row r="92">
      <c r="A92" s="6">
        <f>IFERROR(VLOOKUP($B92,Company_Cat!$B$2:$E$623,2,FALSE),"")</f>
        <v/>
      </c>
      <c r="B92" s="4" t="n"/>
    </row>
    <row r="93">
      <c r="A93" s="6">
        <f>IFERROR(VLOOKUP($B93,Company_Cat!$B$2:$E$623,2,FALSE),"")</f>
        <v/>
      </c>
      <c r="B93" s="4" t="n"/>
    </row>
    <row r="94">
      <c r="A94" s="6">
        <f>IFERROR(VLOOKUP($B94,Company_Cat!$B$2:$E$623,2,FALSE),"")</f>
        <v/>
      </c>
      <c r="B94" s="4" t="n"/>
    </row>
    <row r="95">
      <c r="A95" s="6">
        <f>IFERROR(VLOOKUP($B95,Company_Cat!$B$2:$E$623,2,FALSE),"")</f>
        <v/>
      </c>
      <c r="B95" s="4" t="n"/>
    </row>
    <row r="96">
      <c r="A96" s="6">
        <f>IFERROR(VLOOKUP($B96,Company_Cat!$B$2:$E$623,2,FALSE),"")</f>
        <v/>
      </c>
      <c r="B96" s="4" t="n"/>
    </row>
    <row r="97">
      <c r="A97" s="6">
        <f>IFERROR(VLOOKUP($B97,Company_Cat!$B$2:$E$623,2,FALSE),"")</f>
        <v/>
      </c>
      <c r="B97" s="4" t="n"/>
    </row>
    <row r="98">
      <c r="A98" s="6">
        <f>IFERROR(VLOOKUP($B98,Company_Cat!$B$2:$E$623,2,FALSE),"")</f>
        <v/>
      </c>
      <c r="B98" s="4" t="n"/>
    </row>
    <row r="99">
      <c r="A99" s="6">
        <f>IFERROR(VLOOKUP($B99,Company_Cat!$B$2:$E$623,2,FALSE),"")</f>
        <v/>
      </c>
      <c r="B99" s="4" t="n"/>
    </row>
    <row r="100">
      <c r="A100" s="6">
        <f>IFERROR(VLOOKUP($B100,Company_Cat!$B$2:$E$623,2,FALSE),"")</f>
        <v/>
      </c>
      <c r="B100" s="4" t="n"/>
    </row>
    <row r="101">
      <c r="A101" s="6">
        <f>IFERROR(VLOOKUP($B101,Company_Cat!$B$2:$E$623,2,FALSE),"")</f>
        <v/>
      </c>
      <c r="B101" s="4" t="n"/>
    </row>
    <row r="102">
      <c r="A102" s="6">
        <f>IFERROR(VLOOKUP($B102,Company_Cat!$B$2:$E$623,2,FALSE),"")</f>
        <v/>
      </c>
      <c r="B102" s="4" t="n"/>
    </row>
    <row r="103">
      <c r="A103" s="6">
        <f>IFERROR(VLOOKUP($B103,Company_Cat!$B$2:$E$623,2,FALSE),"")</f>
        <v/>
      </c>
      <c r="B103" s="4" t="n"/>
    </row>
    <row r="104">
      <c r="A104" s="6">
        <f>IFERROR(VLOOKUP($B104,Company_Cat!$B$2:$E$623,2,FALSE),"")</f>
        <v/>
      </c>
      <c r="B104" s="4" t="n"/>
    </row>
    <row r="105">
      <c r="A105" s="6">
        <f>IFERROR(VLOOKUP($B105,Company_Cat!$B$2:$E$623,2,FALSE),"")</f>
        <v/>
      </c>
      <c r="B105" s="4" t="n"/>
    </row>
    <row r="106">
      <c r="A106" s="6">
        <f>IFERROR(VLOOKUP($B106,Company_Cat!$B$2:$E$623,2,FALSE),"")</f>
        <v/>
      </c>
      <c r="B106" s="4" t="n"/>
    </row>
    <row r="107">
      <c r="A107" s="6">
        <f>IFERROR(VLOOKUP($B107,Company_Cat!$B$2:$E$623,2,FALSE),"")</f>
        <v/>
      </c>
      <c r="B107" s="4" t="n"/>
    </row>
    <row r="108">
      <c r="A108" s="6">
        <f>IFERROR(VLOOKUP($B108,Company_Cat!$B$2:$E$623,2,FALSE),"")</f>
        <v/>
      </c>
      <c r="B108" s="4" t="n"/>
    </row>
    <row r="109">
      <c r="A109" s="6">
        <f>IFERROR(VLOOKUP($B109,Company_Cat!$B$2:$E$623,2,FALSE),"")</f>
        <v/>
      </c>
      <c r="B109" s="4" t="n"/>
    </row>
    <row r="110">
      <c r="A110" s="6">
        <f>IFERROR(VLOOKUP($B110,Company_Cat!$B$2:$E$623,2,FALSE),"")</f>
        <v/>
      </c>
      <c r="B110" s="4" t="n"/>
    </row>
    <row r="111">
      <c r="A111" s="6">
        <f>IFERROR(VLOOKUP($B111,Company_Cat!$B$2:$E$623,2,FALSE),"")</f>
        <v/>
      </c>
      <c r="B111" s="4" t="n"/>
    </row>
    <row r="112">
      <c r="A112" s="6">
        <f>IFERROR(VLOOKUP($B112,Company_Cat!$B$2:$E$623,2,FALSE),"")</f>
        <v/>
      </c>
      <c r="B112" s="4" t="n"/>
    </row>
    <row r="113">
      <c r="A113" s="6">
        <f>IFERROR(VLOOKUP($B113,Company_Cat!$B$2:$E$623,2,FALSE),"")</f>
        <v/>
      </c>
      <c r="B113" s="4" t="n"/>
    </row>
    <row r="114">
      <c r="A114" s="6">
        <f>IFERROR(VLOOKUP($B114,Company_Cat!$B$2:$E$623,2,FALSE),"")</f>
        <v/>
      </c>
      <c r="B114" s="4" t="n"/>
    </row>
    <row r="115">
      <c r="A115" s="6">
        <f>IFERROR(VLOOKUP($B115,Company_Cat!$B$2:$E$623,2,FALSE),"")</f>
        <v/>
      </c>
      <c r="B115" s="4" t="n"/>
    </row>
    <row r="116">
      <c r="A116" s="6">
        <f>IFERROR(VLOOKUP($B116,Company_Cat!$B$2:$E$623,2,FALSE),"")</f>
        <v/>
      </c>
      <c r="B116" s="4" t="n"/>
    </row>
    <row r="117">
      <c r="A117" s="6">
        <f>IFERROR(VLOOKUP($B117,Company_Cat!$B$2:$E$623,2,FALSE),"")</f>
        <v/>
      </c>
      <c r="B117" s="4" t="n"/>
    </row>
    <row r="118">
      <c r="A118" s="6">
        <f>IFERROR(VLOOKUP($B118,Company_Cat!$B$2:$E$623,2,FALSE),"")</f>
        <v/>
      </c>
      <c r="B118" s="4" t="n"/>
    </row>
    <row r="119">
      <c r="A119" s="6">
        <f>IFERROR(VLOOKUP($B119,Company_Cat!$B$2:$E$623,2,FALSE),"")</f>
        <v/>
      </c>
      <c r="B119" s="4" t="n"/>
    </row>
    <row r="120">
      <c r="A120" s="6">
        <f>IFERROR(VLOOKUP($B120,Company_Cat!$B$2:$E$623,2,FALSE),"")</f>
        <v/>
      </c>
      <c r="B120" s="4" t="n"/>
    </row>
    <row r="121">
      <c r="A121" s="6">
        <f>IFERROR(VLOOKUP($B121,Company_Cat!$B$2:$E$623,2,FALSE),"")</f>
        <v/>
      </c>
      <c r="B121" s="4" t="n"/>
    </row>
    <row r="122">
      <c r="A122" s="6">
        <f>IFERROR(VLOOKUP($B122,Company_Cat!$B$2:$E$623,2,FALSE),"")</f>
        <v/>
      </c>
      <c r="B122" s="4" t="n"/>
    </row>
    <row r="123">
      <c r="A123" s="6">
        <f>IFERROR(VLOOKUP($B123,Company_Cat!$B$2:$E$623,2,FALSE),"")</f>
        <v/>
      </c>
      <c r="B123" s="4" t="n"/>
    </row>
    <row r="124">
      <c r="A124" s="6">
        <f>IFERROR(VLOOKUP($B124,Company_Cat!$B$2:$E$623,2,FALSE),"")</f>
        <v/>
      </c>
      <c r="B124" s="4" t="n"/>
    </row>
    <row r="125">
      <c r="A125" s="6">
        <f>IFERROR(VLOOKUP($B125,Company_Cat!$B$2:$E$623,2,FALSE),"")</f>
        <v/>
      </c>
      <c r="B125" s="4" t="n"/>
    </row>
    <row r="126">
      <c r="A126" s="6">
        <f>IFERROR(VLOOKUP($B126,Company_Cat!$B$2:$E$623,2,FALSE),"")</f>
        <v/>
      </c>
      <c r="B126" s="4" t="n"/>
    </row>
    <row r="127">
      <c r="A127" s="6">
        <f>IFERROR(VLOOKUP($B127,Company_Cat!$B$2:$E$623,2,FALSE),"")</f>
        <v/>
      </c>
      <c r="B127" s="4" t="n"/>
    </row>
    <row r="128">
      <c r="A128" s="6">
        <f>IFERROR(VLOOKUP($B128,Company_Cat!$B$2:$E$623,2,FALSE),"")</f>
        <v/>
      </c>
      <c r="B128" s="4" t="n"/>
    </row>
    <row r="129">
      <c r="A129" s="6">
        <f>IFERROR(VLOOKUP($B129,Company_Cat!$B$2:$E$623,2,FALSE),"")</f>
        <v/>
      </c>
      <c r="B129" s="4" t="n"/>
    </row>
    <row r="130">
      <c r="A130" s="6">
        <f>IFERROR(VLOOKUP($B130,Company_Cat!$B$2:$E$623,2,FALSE),"")</f>
        <v/>
      </c>
      <c r="B130" s="4" t="n"/>
    </row>
    <row r="131">
      <c r="A131" s="6">
        <f>IFERROR(VLOOKUP($B131,Company_Cat!$B$2:$E$623,2,FALSE),"")</f>
        <v/>
      </c>
      <c r="B131" s="4" t="n"/>
    </row>
    <row r="132">
      <c r="A132" s="6">
        <f>IFERROR(VLOOKUP($B132,Company_Cat!$B$2:$E$623,2,FALSE),"")</f>
        <v/>
      </c>
      <c r="B132" s="4" t="n"/>
    </row>
    <row r="133">
      <c r="A133" s="6">
        <f>IFERROR(VLOOKUP($B133,Company_Cat!$B$2:$E$623,2,FALSE),"")</f>
        <v/>
      </c>
      <c r="B133" s="4" t="n"/>
    </row>
    <row r="134">
      <c r="A134" s="6">
        <f>IFERROR(VLOOKUP($B134,Company_Cat!$B$2:$E$623,2,FALSE),"")</f>
        <v/>
      </c>
      <c r="B134" s="4" t="n"/>
    </row>
    <row r="135">
      <c r="A135" s="6">
        <f>IFERROR(VLOOKUP($B135,Company_Cat!$B$2:$E$623,2,FALSE),"")</f>
        <v/>
      </c>
      <c r="B135" s="4" t="n"/>
    </row>
    <row r="136">
      <c r="A136" s="6">
        <f>IFERROR(VLOOKUP($B136,Company_Cat!$B$2:$E$623,2,FALSE),"")</f>
        <v/>
      </c>
      <c r="B136" s="4" t="n"/>
    </row>
    <row r="137">
      <c r="A137" s="6">
        <f>IFERROR(VLOOKUP($B137,Company_Cat!$B$2:$E$623,2,FALSE),"")</f>
        <v/>
      </c>
      <c r="B137" s="4" t="n"/>
    </row>
    <row r="138">
      <c r="A138" s="6">
        <f>IFERROR(VLOOKUP($B138,Company_Cat!$B$2:$E$623,2,FALSE),"")</f>
        <v/>
      </c>
      <c r="B138" s="4" t="n"/>
    </row>
    <row r="139">
      <c r="A139" s="6">
        <f>IFERROR(VLOOKUP($B139,Company_Cat!$B$2:$E$623,2,FALSE),"")</f>
        <v/>
      </c>
      <c r="B139" s="4" t="n"/>
    </row>
    <row r="140">
      <c r="A140" s="6">
        <f>IFERROR(VLOOKUP($B140,Company_Cat!$B$2:$E$623,2,FALSE),"")</f>
        <v/>
      </c>
      <c r="B140" s="4" t="n"/>
    </row>
    <row r="141">
      <c r="A141" s="6">
        <f>IFERROR(VLOOKUP($B141,Company_Cat!$B$2:$E$623,2,FALSE),"")</f>
        <v/>
      </c>
      <c r="B141" s="4" t="n"/>
    </row>
    <row r="142">
      <c r="A142" s="6">
        <f>IFERROR(VLOOKUP($B142,Company_Cat!$B$2:$E$623,2,FALSE),"")</f>
        <v/>
      </c>
      <c r="B142" s="4" t="n"/>
    </row>
    <row r="143">
      <c r="A143" s="6">
        <f>IFERROR(VLOOKUP($B143,Company_Cat!$B$2:$E$623,2,FALSE),"")</f>
        <v/>
      </c>
      <c r="B143" s="4" t="n"/>
    </row>
    <row r="144">
      <c r="A144" s="6">
        <f>IFERROR(VLOOKUP($B144,Company_Cat!$B$2:$E$623,2,FALSE),"")</f>
        <v/>
      </c>
      <c r="B144" s="4" t="n"/>
    </row>
    <row r="145">
      <c r="A145" s="6">
        <f>IFERROR(VLOOKUP($B145,Company_Cat!$B$2:$E$623,2,FALSE),"")</f>
        <v/>
      </c>
      <c r="B145" s="4" t="n"/>
    </row>
    <row r="146">
      <c r="A146" s="6">
        <f>IFERROR(VLOOKUP($B146,Company_Cat!$B$2:$E$623,2,FALSE),"")</f>
        <v/>
      </c>
      <c r="B146" s="4" t="n"/>
    </row>
    <row r="147">
      <c r="A147" s="6">
        <f>IFERROR(VLOOKUP($B147,Company_Cat!$B$2:$E$623,2,FALSE),"")</f>
        <v/>
      </c>
      <c r="B147" s="4" t="n"/>
    </row>
    <row r="148">
      <c r="A148" s="6">
        <f>IFERROR(VLOOKUP($B148,Company_Cat!$B$2:$E$623,2,FALSE),"")</f>
        <v/>
      </c>
      <c r="B148" s="4" t="n"/>
    </row>
    <row r="149">
      <c r="A149" s="6">
        <f>IFERROR(VLOOKUP($B149,Company_Cat!$B$2:$E$623,2,FALSE),"")</f>
        <v/>
      </c>
      <c r="B149" s="4" t="n"/>
    </row>
    <row r="150">
      <c r="A150" s="6">
        <f>IFERROR(VLOOKUP($B150,Company_Cat!$B$2:$E$623,2,FALSE),"")</f>
        <v/>
      </c>
      <c r="B150" s="4" t="n"/>
    </row>
    <row r="151">
      <c r="A151" s="6">
        <f>IFERROR(VLOOKUP($B151,Company_Cat!$B$2:$E$623,2,FALSE),"")</f>
        <v/>
      </c>
      <c r="B151" s="4" t="n"/>
    </row>
    <row r="152">
      <c r="A152" s="6">
        <f>IFERROR(VLOOKUP($B152,Company_Cat!$B$2:$E$623,2,FALSE),"")</f>
        <v/>
      </c>
      <c r="B152" s="4" t="n"/>
    </row>
    <row r="153">
      <c r="A153" s="6">
        <f>IFERROR(VLOOKUP($B153,Company_Cat!$B$2:$E$623,2,FALSE),"")</f>
        <v/>
      </c>
      <c r="B153" s="4" t="n"/>
    </row>
    <row r="154">
      <c r="A154" s="6">
        <f>IFERROR(VLOOKUP($B154,Company_Cat!$B$2:$E$623,2,FALSE),"")</f>
        <v/>
      </c>
      <c r="B154" s="4" t="n"/>
    </row>
    <row r="155">
      <c r="A155" s="6">
        <f>IFERROR(VLOOKUP($B155,Company_Cat!$B$2:$E$623,2,FALSE),"")</f>
        <v/>
      </c>
      <c r="B155" s="4" t="n"/>
    </row>
    <row r="156">
      <c r="A156" s="6">
        <f>IFERROR(VLOOKUP($B156,Company_Cat!$B$2:$E$623,2,FALSE),"")</f>
        <v/>
      </c>
      <c r="B156" s="4" t="n"/>
    </row>
    <row r="157">
      <c r="A157" s="6">
        <f>IFERROR(VLOOKUP($B157,Company_Cat!$B$2:$E$623,2,FALSE),"")</f>
        <v/>
      </c>
      <c r="B157" s="4" t="n"/>
    </row>
    <row r="158">
      <c r="A158" s="6">
        <f>IFERROR(VLOOKUP($B158,Company_Cat!$B$2:$E$623,2,FALSE),"")</f>
        <v/>
      </c>
      <c r="B158" s="4" t="n"/>
    </row>
    <row r="159">
      <c r="A159" s="6">
        <f>IFERROR(VLOOKUP($B159,Company_Cat!$B$2:$E$623,2,FALSE),"")</f>
        <v/>
      </c>
      <c r="B159" s="4" t="n"/>
    </row>
    <row r="160">
      <c r="A160" s="6">
        <f>IFERROR(VLOOKUP($B160,Company_Cat!$B$2:$E$623,2,FALSE),"")</f>
        <v/>
      </c>
      <c r="B160" s="4" t="n"/>
    </row>
    <row r="161">
      <c r="A161" s="6">
        <f>IFERROR(VLOOKUP($B161,Company_Cat!$B$2:$E$623,2,FALSE),"")</f>
        <v/>
      </c>
      <c r="B161" s="4" t="n"/>
    </row>
    <row r="162">
      <c r="A162" s="6">
        <f>IFERROR(VLOOKUP($B162,Company_Cat!$B$2:$E$623,2,FALSE),"")</f>
        <v/>
      </c>
      <c r="B162" s="4" t="n"/>
    </row>
    <row r="163">
      <c r="A163" s="6">
        <f>IFERROR(VLOOKUP($B163,Company_Cat!$B$2:$E$623,2,FALSE),"")</f>
        <v/>
      </c>
      <c r="B163" s="4" t="n"/>
    </row>
    <row r="164">
      <c r="A164" s="6">
        <f>IFERROR(VLOOKUP($B164,Company_Cat!$B$2:$E$623,2,FALSE),"")</f>
        <v/>
      </c>
      <c r="B164" s="4" t="n"/>
    </row>
    <row r="165">
      <c r="A165" s="6">
        <f>IFERROR(VLOOKUP($B165,Company_Cat!$B$2:$E$623,2,FALSE),"")</f>
        <v/>
      </c>
      <c r="B165" s="4" t="n"/>
    </row>
    <row r="166">
      <c r="A166" s="6">
        <f>IFERROR(VLOOKUP($B166,Company_Cat!$B$2:$E$623,2,FALSE),"")</f>
        <v/>
      </c>
      <c r="B166" s="4" t="n"/>
    </row>
    <row r="167">
      <c r="A167" s="6">
        <f>IFERROR(VLOOKUP($B167,Company_Cat!$B$2:$E$623,2,FALSE),"")</f>
        <v/>
      </c>
      <c r="B167" s="4" t="n"/>
    </row>
    <row r="168">
      <c r="A168" s="6">
        <f>IFERROR(VLOOKUP($B168,Company_Cat!$B$2:$E$623,2,FALSE),"")</f>
        <v/>
      </c>
      <c r="B168" s="4" t="n"/>
    </row>
    <row r="169">
      <c r="A169" s="6">
        <f>IFERROR(VLOOKUP($B169,Company_Cat!$B$2:$E$623,2,FALSE),"")</f>
        <v/>
      </c>
      <c r="B169" s="4" t="n"/>
    </row>
    <row r="170">
      <c r="A170" s="6">
        <f>IFERROR(VLOOKUP($B170,Company_Cat!$B$2:$E$623,2,FALSE),"")</f>
        <v/>
      </c>
      <c r="B170" s="4" t="n"/>
    </row>
    <row r="171">
      <c r="A171" s="6">
        <f>IFERROR(VLOOKUP($B171,Company_Cat!$B$2:$E$623,2,FALSE),"")</f>
        <v/>
      </c>
      <c r="B171" s="4" t="n"/>
    </row>
    <row r="172">
      <c r="A172" s="6">
        <f>IFERROR(VLOOKUP($B172,Company_Cat!$B$2:$E$623,2,FALSE),"")</f>
        <v/>
      </c>
      <c r="B172" s="4" t="n"/>
    </row>
    <row r="173">
      <c r="A173" s="6">
        <f>IFERROR(VLOOKUP($B173,Company_Cat!$B$2:$E$623,2,FALSE),"")</f>
        <v/>
      </c>
      <c r="B173" s="4" t="n"/>
    </row>
    <row r="174">
      <c r="A174" s="6">
        <f>IFERROR(VLOOKUP($B174,Company_Cat!$B$2:$E$623,2,FALSE),"")</f>
        <v/>
      </c>
      <c r="B174" s="4" t="n"/>
    </row>
    <row r="175">
      <c r="A175" s="6">
        <f>IFERROR(VLOOKUP($B175,Company_Cat!$B$2:$E$623,2,FALSE),"")</f>
        <v/>
      </c>
      <c r="B175" s="4" t="n"/>
    </row>
    <row r="176">
      <c r="A176" s="6">
        <f>IFERROR(VLOOKUP($B176,Company_Cat!$B$2:$E$623,2,FALSE),"")</f>
        <v/>
      </c>
      <c r="B176" s="4" t="n"/>
    </row>
    <row r="177">
      <c r="A177" s="6">
        <f>IFERROR(VLOOKUP($B177,Company_Cat!$B$2:$E$623,2,FALSE),"")</f>
        <v/>
      </c>
      <c r="B177" s="4" t="n"/>
    </row>
    <row r="178">
      <c r="A178" s="6">
        <f>IFERROR(VLOOKUP($B178,Company_Cat!$B$2:$E$623,2,FALSE),"")</f>
        <v/>
      </c>
      <c r="B178" s="4" t="n"/>
    </row>
    <row r="179">
      <c r="A179" s="6">
        <f>IFERROR(VLOOKUP($B179,Company_Cat!$B$2:$E$623,2,FALSE),"")</f>
        <v/>
      </c>
      <c r="B179" s="4" t="n"/>
    </row>
    <row r="180">
      <c r="A180" s="6">
        <f>IFERROR(VLOOKUP($B180,Company_Cat!$B$2:$E$623,2,FALSE),"")</f>
        <v/>
      </c>
      <c r="B180" s="4" t="n"/>
    </row>
    <row r="181">
      <c r="A181" s="6">
        <f>IFERROR(VLOOKUP($B181,Company_Cat!$B$2:$E$623,2,FALSE),"")</f>
        <v/>
      </c>
      <c r="B181" s="4" t="n"/>
    </row>
    <row r="182">
      <c r="A182" s="6">
        <f>IFERROR(VLOOKUP($B182,Company_Cat!$B$2:$E$623,2,FALSE),"")</f>
        <v/>
      </c>
      <c r="B182" s="4" t="n"/>
    </row>
    <row r="183">
      <c r="A183" s="6">
        <f>IFERROR(VLOOKUP($B183,Company_Cat!$B$2:$E$623,2,FALSE),"")</f>
        <v/>
      </c>
      <c r="B183" s="4" t="n"/>
    </row>
    <row r="184">
      <c r="A184" s="6">
        <f>IFERROR(VLOOKUP($B184,Company_Cat!$B$2:$E$623,2,FALSE),"")</f>
        <v/>
      </c>
      <c r="B184" s="4" t="n"/>
    </row>
    <row r="185">
      <c r="A185" s="6">
        <f>IFERROR(VLOOKUP($B185,Company_Cat!$B$2:$E$623,2,FALSE),"")</f>
        <v/>
      </c>
      <c r="B185" s="4" t="n"/>
    </row>
    <row r="186">
      <c r="A186" s="6">
        <f>IFERROR(VLOOKUP($B186,Company_Cat!$B$2:$E$623,2,FALSE),"")</f>
        <v/>
      </c>
      <c r="B186" s="4" t="n"/>
    </row>
    <row r="187">
      <c r="A187" s="6">
        <f>IFERROR(VLOOKUP($B187,Company_Cat!$B$2:$E$623,2,FALSE),"")</f>
        <v/>
      </c>
      <c r="B187" s="4" t="n"/>
    </row>
    <row r="188">
      <c r="A188" s="6">
        <f>IFERROR(VLOOKUP($B188,Company_Cat!$B$2:$E$623,2,FALSE),"")</f>
        <v/>
      </c>
      <c r="B188" s="4" t="n"/>
    </row>
    <row r="189">
      <c r="A189" s="6">
        <f>IFERROR(VLOOKUP($B189,Company_Cat!$B$2:$E$623,2,FALSE),"")</f>
        <v/>
      </c>
      <c r="B189" s="4" t="n"/>
    </row>
    <row r="190">
      <c r="A190" s="6">
        <f>IFERROR(VLOOKUP($B190,Company_Cat!$B$2:$E$623,2,FALSE),"")</f>
        <v/>
      </c>
      <c r="B190" s="4" t="n"/>
    </row>
    <row r="191">
      <c r="A191" s="6">
        <f>IFERROR(VLOOKUP($B191,Company_Cat!$B$2:$E$623,2,FALSE),"")</f>
        <v/>
      </c>
      <c r="B191" s="4" t="n"/>
    </row>
    <row r="192">
      <c r="A192" s="6">
        <f>IFERROR(VLOOKUP($B192,Company_Cat!$B$2:$E$623,2,FALSE),"")</f>
        <v/>
      </c>
      <c r="B192" s="4" t="n"/>
    </row>
    <row r="193">
      <c r="A193" s="6">
        <f>IFERROR(VLOOKUP($B193,Company_Cat!$B$2:$E$623,2,FALSE),"")</f>
        <v/>
      </c>
      <c r="B193" s="4" t="n"/>
    </row>
    <row r="194">
      <c r="A194" s="6">
        <f>IFERROR(VLOOKUP($B194,Company_Cat!$B$2:$E$623,2,FALSE),"")</f>
        <v/>
      </c>
      <c r="B194" s="4" t="n"/>
    </row>
    <row r="195">
      <c r="A195" s="6">
        <f>IFERROR(VLOOKUP($B195,Company_Cat!$B$2:$E$623,2,FALSE),"")</f>
        <v/>
      </c>
      <c r="B195" s="4" t="n"/>
    </row>
    <row r="196">
      <c r="A196" s="6">
        <f>IFERROR(VLOOKUP($B196,Company_Cat!$B$2:$E$623,2,FALSE),"")</f>
        <v/>
      </c>
      <c r="B196" s="4" t="n"/>
    </row>
    <row r="197">
      <c r="A197" s="6">
        <f>IFERROR(VLOOKUP($B197,Company_Cat!$B$2:$E$623,2,FALSE),"")</f>
        <v/>
      </c>
      <c r="B197" s="4" t="n"/>
    </row>
    <row r="198">
      <c r="A198" s="6">
        <f>IFERROR(VLOOKUP($B198,Company_Cat!$B$2:$E$623,2,FALSE),"")</f>
        <v/>
      </c>
      <c r="B198" s="4" t="n"/>
    </row>
    <row r="199">
      <c r="A199" s="6">
        <f>IFERROR(VLOOKUP($B199,Company_Cat!$B$2:$E$623,2,FALSE),"")</f>
        <v/>
      </c>
      <c r="B199" s="4" t="n"/>
    </row>
    <row r="200">
      <c r="A200" s="6">
        <f>IFERROR(VLOOKUP($B200,Company_Cat!$B$2:$E$623,2,FALSE),"")</f>
        <v/>
      </c>
      <c r="B200" s="4" t="n"/>
    </row>
    <row r="201">
      <c r="A201" s="6">
        <f>IFERROR(VLOOKUP($B201,Company_Cat!$B$2:$E$623,2,FALSE),"")</f>
        <v/>
      </c>
      <c r="B201" s="4" t="n"/>
    </row>
    <row r="202">
      <c r="A202" s="6">
        <f>IFERROR(VLOOKUP($B202,Company_Cat!$B$2:$E$623,2,FALSE),"")</f>
        <v/>
      </c>
      <c r="B202" s="4" t="n"/>
    </row>
    <row r="203">
      <c r="A203" s="6">
        <f>IFERROR(VLOOKUP($B203,Company_Cat!$B$2:$E$623,2,FALSE),"")</f>
        <v/>
      </c>
      <c r="B203" s="4" t="n"/>
    </row>
    <row r="204">
      <c r="A204" s="6">
        <f>IFERROR(VLOOKUP($B204,Company_Cat!$B$2:$E$623,2,FALSE),"")</f>
        <v/>
      </c>
      <c r="B204" s="4" t="n"/>
    </row>
    <row r="205">
      <c r="A205" s="6">
        <f>IFERROR(VLOOKUP($B205,Company_Cat!$B$2:$E$623,2,FALSE),"")</f>
        <v/>
      </c>
      <c r="B205" s="4" t="n"/>
    </row>
    <row r="206">
      <c r="A206" s="6">
        <f>IFERROR(VLOOKUP($B206,Company_Cat!$B$2:$E$623,2,FALSE),"")</f>
        <v/>
      </c>
      <c r="B206" s="4" t="n"/>
    </row>
    <row r="207">
      <c r="A207" s="6">
        <f>IFERROR(VLOOKUP($B207,Company_Cat!$B$2:$E$623,2,FALSE),"")</f>
        <v/>
      </c>
      <c r="B207" s="4" t="n"/>
    </row>
    <row r="208">
      <c r="A208" s="6">
        <f>IFERROR(VLOOKUP($B208,Company_Cat!$B$2:$E$623,2,FALSE),"")</f>
        <v/>
      </c>
      <c r="B208" s="4" t="n"/>
    </row>
    <row r="209">
      <c r="A209" s="6">
        <f>IFERROR(VLOOKUP($B209,Company_Cat!$B$2:$E$623,2,FALSE),"")</f>
        <v/>
      </c>
      <c r="B209" s="4" t="n"/>
    </row>
    <row r="210">
      <c r="A210" s="6">
        <f>IFERROR(VLOOKUP($B210,Company_Cat!$B$2:$E$623,2,FALSE),"")</f>
        <v/>
      </c>
      <c r="B210" s="4" t="n"/>
    </row>
    <row r="211">
      <c r="A211" s="6">
        <f>IFERROR(VLOOKUP($B211,Company_Cat!$B$2:$E$623,2,FALSE),"")</f>
        <v/>
      </c>
      <c r="B211" s="4" t="n"/>
    </row>
    <row r="212">
      <c r="A212" s="6">
        <f>IFERROR(VLOOKUP($B212,Company_Cat!$B$2:$E$623,2,FALSE),"")</f>
        <v/>
      </c>
      <c r="B212" s="4" t="n"/>
    </row>
    <row r="213">
      <c r="A213" s="6">
        <f>IFERROR(VLOOKUP($B213,Company_Cat!$B$2:$E$623,2,FALSE),"")</f>
        <v/>
      </c>
      <c r="B213" s="4" t="n"/>
    </row>
    <row r="214">
      <c r="A214" s="6">
        <f>IFERROR(VLOOKUP($B214,Company_Cat!$B$2:$E$623,2,FALSE),"")</f>
        <v/>
      </c>
      <c r="B214" s="4" t="n"/>
    </row>
    <row r="215">
      <c r="A215" s="6">
        <f>IFERROR(VLOOKUP($B215,Company_Cat!$B$2:$E$623,2,FALSE),"")</f>
        <v/>
      </c>
      <c r="B215" s="4" t="n"/>
    </row>
    <row r="216">
      <c r="A216" s="6">
        <f>IFERROR(VLOOKUP($B216,Company_Cat!$B$2:$E$623,2,FALSE),"")</f>
        <v/>
      </c>
      <c r="B216" s="4" t="n"/>
    </row>
    <row r="217">
      <c r="A217" s="6">
        <f>IFERROR(VLOOKUP($B217,Company_Cat!$B$2:$E$623,2,FALSE),"")</f>
        <v/>
      </c>
      <c r="B217" s="4" t="n"/>
    </row>
    <row r="218">
      <c r="A218" s="6">
        <f>IFERROR(VLOOKUP($B218,Company_Cat!$B$2:$E$623,2,FALSE),"")</f>
        <v/>
      </c>
      <c r="B218" s="4" t="n"/>
    </row>
    <row r="219">
      <c r="A219" s="6">
        <f>IFERROR(VLOOKUP($B219,Company_Cat!$B$2:$E$623,2,FALSE),"")</f>
        <v/>
      </c>
      <c r="B219" s="4" t="n"/>
    </row>
    <row r="220">
      <c r="A220" s="6">
        <f>IFERROR(VLOOKUP($B220,Company_Cat!$B$2:$E$623,2,FALSE),"")</f>
        <v/>
      </c>
      <c r="B220" s="4" t="n"/>
    </row>
    <row r="221">
      <c r="A221" s="6">
        <f>IFERROR(VLOOKUP($B221,Company_Cat!$B$2:$E$623,2,FALSE),"")</f>
        <v/>
      </c>
      <c r="B221" s="4" t="n"/>
    </row>
    <row r="222">
      <c r="A222" s="6">
        <f>IFERROR(VLOOKUP($B222,Company_Cat!$B$2:$E$623,2,FALSE),"")</f>
        <v/>
      </c>
      <c r="B222" s="4" t="n"/>
    </row>
    <row r="223">
      <c r="A223" s="6">
        <f>IFERROR(VLOOKUP($B223,Company_Cat!$B$2:$E$623,2,FALSE),"")</f>
        <v/>
      </c>
      <c r="B223" s="4" t="n"/>
    </row>
    <row r="224">
      <c r="A224" s="6">
        <f>IFERROR(VLOOKUP($B224,Company_Cat!$B$2:$E$623,2,FALSE),"")</f>
        <v/>
      </c>
      <c r="B224" s="4" t="n"/>
    </row>
    <row r="225">
      <c r="A225" s="6">
        <f>IFERROR(VLOOKUP($B225,Company_Cat!$B$2:$E$623,2,FALSE),"")</f>
        <v/>
      </c>
      <c r="B225" s="4" t="n"/>
    </row>
    <row r="226">
      <c r="A226" s="6">
        <f>IFERROR(VLOOKUP($B226,Company_Cat!$B$2:$E$623,2,FALSE),"")</f>
        <v/>
      </c>
      <c r="B226" s="4" t="n"/>
    </row>
    <row r="227">
      <c r="A227" s="6">
        <f>IFERROR(VLOOKUP($B227,Company_Cat!$B$2:$E$623,2,FALSE),"")</f>
        <v/>
      </c>
      <c r="B227" s="4" t="n"/>
    </row>
    <row r="228">
      <c r="A228" s="6">
        <f>IFERROR(VLOOKUP($B228,Company_Cat!$B$2:$E$623,2,FALSE),"")</f>
        <v/>
      </c>
      <c r="B228" s="4" t="n"/>
    </row>
    <row r="229">
      <c r="A229" s="6">
        <f>IFERROR(VLOOKUP($B229,Company_Cat!$B$2:$E$623,2,FALSE),"")</f>
        <v/>
      </c>
      <c r="B229" s="4" t="n"/>
    </row>
    <row r="230">
      <c r="A230" s="6">
        <f>IFERROR(VLOOKUP($B230,Company_Cat!$B$2:$E$623,2,FALSE),"")</f>
        <v/>
      </c>
      <c r="B230" s="4" t="n"/>
    </row>
    <row r="231">
      <c r="A231" s="6">
        <f>IFERROR(VLOOKUP($B231,Company_Cat!$B$2:$E$623,2,FALSE),"")</f>
        <v/>
      </c>
      <c r="B231" s="4" t="n"/>
    </row>
    <row r="232">
      <c r="A232" s="6">
        <f>IFERROR(VLOOKUP($B232,Company_Cat!$B$2:$E$623,2,FALSE),"")</f>
        <v/>
      </c>
      <c r="B232" s="4" t="n"/>
    </row>
    <row r="233">
      <c r="A233" s="6">
        <f>IFERROR(VLOOKUP($B233,Company_Cat!$B$2:$E$623,2,FALSE),"")</f>
        <v/>
      </c>
      <c r="B233" s="4" t="n"/>
    </row>
    <row r="234">
      <c r="A234" s="6">
        <f>IFERROR(VLOOKUP($B234,Company_Cat!$B$2:$E$623,2,FALSE),"")</f>
        <v/>
      </c>
      <c r="B234" s="4" t="n"/>
    </row>
    <row r="235">
      <c r="A235" s="6">
        <f>IFERROR(VLOOKUP($B235,Company_Cat!$B$2:$E$623,2,FALSE),"")</f>
        <v/>
      </c>
      <c r="B235" s="4" t="n"/>
    </row>
    <row r="236">
      <c r="A236" s="6">
        <f>IFERROR(VLOOKUP($B236,Company_Cat!$B$2:$E$623,2,FALSE),"")</f>
        <v/>
      </c>
      <c r="B236" s="4" t="n"/>
    </row>
    <row r="237">
      <c r="A237" s="6">
        <f>IFERROR(VLOOKUP($B237,Company_Cat!$B$2:$E$623,2,FALSE),"")</f>
        <v/>
      </c>
      <c r="B237" s="4" t="n"/>
    </row>
    <row r="238">
      <c r="A238" s="6">
        <f>IFERROR(VLOOKUP($B238,Company_Cat!$B$2:$E$623,2,FALSE),"")</f>
        <v/>
      </c>
      <c r="B238" s="4" t="n"/>
    </row>
    <row r="239">
      <c r="A239" s="6">
        <f>IFERROR(VLOOKUP($B239,Company_Cat!$B$2:$E$623,2,FALSE),"")</f>
        <v/>
      </c>
      <c r="B239" s="4" t="n"/>
    </row>
    <row r="240">
      <c r="A240" s="6">
        <f>IFERROR(VLOOKUP($B240,Company_Cat!$B$2:$E$623,2,FALSE),"")</f>
        <v/>
      </c>
      <c r="B240" s="4" t="n"/>
    </row>
    <row r="241">
      <c r="A241" s="6">
        <f>IFERROR(VLOOKUP($B241,Company_Cat!$B$2:$E$623,2,FALSE),"")</f>
        <v/>
      </c>
      <c r="B241" s="4" t="n"/>
    </row>
    <row r="242">
      <c r="A242" s="6">
        <f>IFERROR(VLOOKUP($B242,Company_Cat!$B$2:$E$623,2,FALSE),"")</f>
        <v/>
      </c>
      <c r="B242" s="4" t="n"/>
    </row>
    <row r="243">
      <c r="A243" s="6">
        <f>IFERROR(VLOOKUP($B243,Company_Cat!$B$2:$E$623,2,FALSE),"")</f>
        <v/>
      </c>
      <c r="B243" s="4" t="n"/>
    </row>
    <row r="244">
      <c r="A244" s="6">
        <f>IFERROR(VLOOKUP($B244,Company_Cat!$B$2:$E$623,2,FALSE),"")</f>
        <v/>
      </c>
      <c r="B244" s="4" t="n"/>
    </row>
    <row r="245">
      <c r="A245" s="6">
        <f>IFERROR(VLOOKUP($B245,Company_Cat!$B$2:$E$623,2,FALSE),"")</f>
        <v/>
      </c>
      <c r="B245" s="4" t="n"/>
    </row>
    <row r="246">
      <c r="A246" s="6">
        <f>IFERROR(VLOOKUP($B246,Company_Cat!$B$2:$E$623,2,FALSE),"")</f>
        <v/>
      </c>
      <c r="B246" s="4" t="n"/>
    </row>
    <row r="247">
      <c r="A247" s="6">
        <f>IFERROR(VLOOKUP($B247,Company_Cat!$B$2:$E$623,2,FALSE),"")</f>
        <v/>
      </c>
      <c r="B247" s="4" t="n"/>
    </row>
    <row r="248">
      <c r="A248" s="6">
        <f>IFERROR(VLOOKUP($B248,Company_Cat!$B$2:$E$623,2,FALSE),"")</f>
        <v/>
      </c>
      <c r="B248" s="4" t="n"/>
    </row>
    <row r="249">
      <c r="A249" s="6">
        <f>IFERROR(VLOOKUP($B249,Company_Cat!$B$2:$E$623,2,FALSE),"")</f>
        <v/>
      </c>
      <c r="B249" s="4" t="n"/>
    </row>
    <row r="250">
      <c r="A250" s="6">
        <f>IFERROR(VLOOKUP($B250,Company_Cat!$B$2:$E$623,2,FALSE),"")</f>
        <v/>
      </c>
      <c r="B250" s="4" t="n"/>
    </row>
    <row r="251">
      <c r="A251" s="6">
        <f>IFERROR(VLOOKUP($B251,Company_Cat!$B$2:$E$623,2,FALSE),"")</f>
        <v/>
      </c>
      <c r="B251" s="4" t="n"/>
    </row>
    <row r="252">
      <c r="A252" s="6">
        <f>IFERROR(VLOOKUP($B252,Company_Cat!$B$2:$E$623,2,FALSE),"")</f>
        <v/>
      </c>
      <c r="B252" s="4" t="n"/>
    </row>
    <row r="253">
      <c r="A253" s="6">
        <f>IFERROR(VLOOKUP($B253,Company_Cat!$B$2:$E$623,2,FALSE),"")</f>
        <v/>
      </c>
      <c r="B253" s="4" t="n"/>
    </row>
    <row r="254">
      <c r="A254" s="6">
        <f>IFERROR(VLOOKUP($B254,Company_Cat!$B$2:$E$623,2,FALSE),"")</f>
        <v/>
      </c>
      <c r="B254" s="4" t="n"/>
    </row>
    <row r="255">
      <c r="A255" s="6">
        <f>IFERROR(VLOOKUP($B255,Company_Cat!$B$2:$E$623,2,FALSE),"")</f>
        <v/>
      </c>
      <c r="B255" s="4" t="n"/>
    </row>
    <row r="256">
      <c r="A256" s="6">
        <f>IFERROR(VLOOKUP($B256,Company_Cat!$B$2:$E$623,2,FALSE),"")</f>
        <v/>
      </c>
      <c r="B256" s="4" t="n"/>
    </row>
    <row r="257">
      <c r="A257" s="6">
        <f>IFERROR(VLOOKUP($B257,Company_Cat!$B$2:$E$623,2,FALSE),"")</f>
        <v/>
      </c>
      <c r="B257" s="4" t="n"/>
    </row>
    <row r="258">
      <c r="A258" s="6">
        <f>IFERROR(VLOOKUP($B258,Company_Cat!$B$2:$E$623,2,FALSE),"")</f>
        <v/>
      </c>
      <c r="B258" s="4" t="n"/>
    </row>
    <row r="259">
      <c r="A259" s="6">
        <f>IFERROR(VLOOKUP($B259,Company_Cat!$B$2:$E$623,2,FALSE),"")</f>
        <v/>
      </c>
      <c r="B259" s="4" t="n"/>
    </row>
    <row r="260">
      <c r="A260" s="6">
        <f>IFERROR(VLOOKUP($B260,Company_Cat!$B$2:$E$623,2,FALSE),"")</f>
        <v/>
      </c>
      <c r="B260" s="4" t="n"/>
    </row>
    <row r="261">
      <c r="A261" s="6">
        <f>IFERROR(VLOOKUP($B261,Company_Cat!$B$2:$E$623,2,FALSE),"")</f>
        <v/>
      </c>
      <c r="B261" s="4" t="n"/>
    </row>
    <row r="262">
      <c r="A262" s="6">
        <f>IFERROR(VLOOKUP($B262,Company_Cat!$B$2:$E$623,2,FALSE),"")</f>
        <v/>
      </c>
      <c r="B262" s="4" t="n"/>
    </row>
    <row r="263">
      <c r="A263" s="6">
        <f>IFERROR(VLOOKUP($B263,Company_Cat!$B$2:$E$623,2,FALSE),"")</f>
        <v/>
      </c>
      <c r="B263" s="4" t="n"/>
    </row>
    <row r="264">
      <c r="A264" s="6">
        <f>IFERROR(VLOOKUP($B264,Company_Cat!$B$2:$E$623,2,FALSE),"")</f>
        <v/>
      </c>
      <c r="B264" s="4" t="n"/>
    </row>
    <row r="265">
      <c r="A265" s="6">
        <f>IFERROR(VLOOKUP($B265,Company_Cat!$B$2:$E$623,2,FALSE),"")</f>
        <v/>
      </c>
      <c r="B265" s="4" t="n"/>
    </row>
    <row r="266">
      <c r="A266" s="6">
        <f>IFERROR(VLOOKUP($B266,Company_Cat!$B$2:$E$623,2,FALSE),"")</f>
        <v/>
      </c>
      <c r="B266" s="4" t="n"/>
    </row>
    <row r="267">
      <c r="A267" s="6">
        <f>IFERROR(VLOOKUP($B267,Company_Cat!$B$2:$E$623,2,FALSE),"")</f>
        <v/>
      </c>
      <c r="B267" s="4" t="n"/>
    </row>
    <row r="268">
      <c r="A268" s="6">
        <f>IFERROR(VLOOKUP($B268,Company_Cat!$B$2:$E$623,2,FALSE),"")</f>
        <v/>
      </c>
      <c r="B268" s="4" t="n"/>
    </row>
    <row r="269">
      <c r="A269" s="6">
        <f>IFERROR(VLOOKUP($B269,Company_Cat!$B$2:$E$623,2,FALSE),"")</f>
        <v/>
      </c>
      <c r="B269" s="4" t="n"/>
    </row>
    <row r="270">
      <c r="A270" s="6">
        <f>IFERROR(VLOOKUP($B270,Company_Cat!$B$2:$E$623,2,FALSE),"")</f>
        <v/>
      </c>
      <c r="B270" s="4" t="n"/>
    </row>
    <row r="271">
      <c r="A271" s="6">
        <f>IFERROR(VLOOKUP($B271,Company_Cat!$B$2:$E$623,2,FALSE),"")</f>
        <v/>
      </c>
      <c r="B271" s="4" t="n"/>
    </row>
    <row r="272">
      <c r="A272" s="6">
        <f>IFERROR(VLOOKUP($B272,Company_Cat!$B$2:$E$623,2,FALSE),"")</f>
        <v/>
      </c>
      <c r="B272" s="4" t="n"/>
    </row>
    <row r="273">
      <c r="A273" s="6">
        <f>IFERROR(VLOOKUP($B273,Company_Cat!$B$2:$E$623,2,FALSE),"")</f>
        <v/>
      </c>
      <c r="B273" s="4" t="n"/>
    </row>
    <row r="274">
      <c r="A274" s="6">
        <f>IFERROR(VLOOKUP($B274,Company_Cat!$B$2:$E$623,2,FALSE),"")</f>
        <v/>
      </c>
      <c r="B274" s="4" t="n"/>
    </row>
    <row r="275">
      <c r="A275" s="6">
        <f>IFERROR(VLOOKUP($B275,Company_Cat!$B$2:$E$623,2,FALSE),"")</f>
        <v/>
      </c>
      <c r="B275" s="4" t="n"/>
    </row>
    <row r="276">
      <c r="A276" s="6">
        <f>IFERROR(VLOOKUP($B276,Company_Cat!$B$2:$E$623,2,FALSE),"")</f>
        <v/>
      </c>
      <c r="B276" s="4" t="n"/>
    </row>
    <row r="277">
      <c r="A277" s="6">
        <f>IFERROR(VLOOKUP($B277,Company_Cat!$B$2:$E$623,2,FALSE),"")</f>
        <v/>
      </c>
      <c r="B277" s="4" t="n"/>
    </row>
    <row r="278">
      <c r="A278" s="6">
        <f>IFERROR(VLOOKUP($B278,Company_Cat!$B$2:$E$623,2,FALSE),"")</f>
        <v/>
      </c>
      <c r="B278" s="4" t="n"/>
    </row>
    <row r="279">
      <c r="A279" s="6">
        <f>IFERROR(VLOOKUP($B279,Company_Cat!$B$2:$E$623,2,FALSE),"")</f>
        <v/>
      </c>
      <c r="B279" s="4" t="n"/>
    </row>
    <row r="280">
      <c r="A280" s="6">
        <f>IFERROR(VLOOKUP($B280,Company_Cat!$B$2:$E$623,2,FALSE),"")</f>
        <v/>
      </c>
      <c r="B280" s="4" t="n"/>
    </row>
    <row r="281">
      <c r="A281" s="6">
        <f>IFERROR(VLOOKUP($B281,Company_Cat!$B$2:$E$623,2,FALSE),"")</f>
        <v/>
      </c>
      <c r="B281" s="4" t="n"/>
    </row>
    <row r="282">
      <c r="A282" s="6">
        <f>IFERROR(VLOOKUP($B282,Company_Cat!$B$2:$E$623,2,FALSE),"")</f>
        <v/>
      </c>
      <c r="B282" s="4" t="n"/>
    </row>
    <row r="283">
      <c r="A283" s="6">
        <f>IFERROR(VLOOKUP($B283,Company_Cat!$B$2:$E$623,2,FALSE),"")</f>
        <v/>
      </c>
      <c r="B283" s="4" t="n"/>
    </row>
    <row r="284">
      <c r="A284" s="6">
        <f>IFERROR(VLOOKUP($B284,Company_Cat!$B$2:$E$623,2,FALSE),"")</f>
        <v/>
      </c>
      <c r="B284" s="4" t="n"/>
    </row>
    <row r="285">
      <c r="A285" s="6">
        <f>IFERROR(VLOOKUP($B285,Company_Cat!$B$2:$E$623,2,FALSE),"")</f>
        <v/>
      </c>
      <c r="B285" s="4" t="n"/>
    </row>
    <row r="286">
      <c r="A286" s="6">
        <f>IFERROR(VLOOKUP($B286,Company_Cat!$B$2:$E$623,2,FALSE),"")</f>
        <v/>
      </c>
      <c r="B286" s="4" t="n"/>
    </row>
    <row r="287">
      <c r="A287" s="6">
        <f>IFERROR(VLOOKUP($B287,Company_Cat!$B$2:$E$623,2,FALSE),"")</f>
        <v/>
      </c>
      <c r="B287" s="4" t="n"/>
    </row>
    <row r="288">
      <c r="A288" s="6">
        <f>IFERROR(VLOOKUP($B288,Company_Cat!$B$2:$E$623,2,FALSE),"")</f>
        <v/>
      </c>
      <c r="B288" s="4" t="n"/>
    </row>
    <row r="289">
      <c r="A289" s="6">
        <f>IFERROR(VLOOKUP($B289,Company_Cat!$B$2:$E$623,2,FALSE),"")</f>
        <v/>
      </c>
      <c r="B289" s="4" t="n"/>
    </row>
    <row r="290">
      <c r="A290" s="6">
        <f>IFERROR(VLOOKUP($B290,Company_Cat!$B$2:$E$623,2,FALSE),"")</f>
        <v/>
      </c>
      <c r="B290" s="4" t="n"/>
    </row>
    <row r="291">
      <c r="A291" s="6">
        <f>IFERROR(VLOOKUP($B291,Company_Cat!$B$2:$E$623,2,FALSE),"")</f>
        <v/>
      </c>
      <c r="B291" s="4" t="n"/>
    </row>
    <row r="292">
      <c r="A292" s="6">
        <f>IFERROR(VLOOKUP($B292,Company_Cat!$B$2:$E$623,2,FALSE),"")</f>
        <v/>
      </c>
      <c r="B292" s="4" t="n"/>
    </row>
    <row r="293">
      <c r="A293" s="6">
        <f>IFERROR(VLOOKUP($B293,Company_Cat!$B$2:$E$623,2,FALSE),"")</f>
        <v/>
      </c>
      <c r="B293" s="4" t="n"/>
    </row>
    <row r="294">
      <c r="A294" s="6">
        <f>IFERROR(VLOOKUP($B294,Company_Cat!$B$2:$E$623,2,FALSE),"")</f>
        <v/>
      </c>
      <c r="B294" s="4" t="n"/>
    </row>
    <row r="295">
      <c r="A295" s="6">
        <f>IFERROR(VLOOKUP($B295,Company_Cat!$B$2:$E$623,2,FALSE),"")</f>
        <v/>
      </c>
      <c r="B295" s="4" t="n"/>
    </row>
    <row r="296">
      <c r="A296" s="6">
        <f>IFERROR(VLOOKUP($B296,Company_Cat!$B$2:$E$623,2,FALSE),"")</f>
        <v/>
      </c>
      <c r="B296" s="4" t="n"/>
    </row>
    <row r="297">
      <c r="A297" s="6">
        <f>IFERROR(VLOOKUP($B297,Company_Cat!$B$2:$E$623,2,FALSE),"")</f>
        <v/>
      </c>
      <c r="B297" s="4" t="n"/>
    </row>
    <row r="298">
      <c r="A298" s="6">
        <f>IFERROR(VLOOKUP($B298,Company_Cat!$B$2:$E$623,2,FALSE),"")</f>
        <v/>
      </c>
      <c r="B298" s="4" t="n"/>
    </row>
    <row r="299">
      <c r="A299" s="6">
        <f>IFERROR(VLOOKUP($B299,Company_Cat!$B$2:$E$623,2,FALSE),"")</f>
        <v/>
      </c>
      <c r="B299" s="4" t="n"/>
    </row>
    <row r="300">
      <c r="A300" s="6">
        <f>IFERROR(VLOOKUP($B300,Company_Cat!$B$2:$E$623,2,FALSE),"")</f>
        <v/>
      </c>
      <c r="B300" s="4" t="n"/>
    </row>
    <row r="301">
      <c r="A301" s="6">
        <f>IFERROR(VLOOKUP($B301,Company_Cat!$B$2:$E$623,2,FALSE),"")</f>
        <v/>
      </c>
      <c r="B301" s="4" t="n"/>
    </row>
    <row r="302">
      <c r="A302" s="6">
        <f>IFERROR(VLOOKUP($B302,Company_Cat!$B$2:$E$623,2,FALSE),"")</f>
        <v/>
      </c>
      <c r="B302" s="4" t="n"/>
    </row>
    <row r="303">
      <c r="A303" s="6">
        <f>IFERROR(VLOOKUP($B303,Company_Cat!$B$2:$E$623,2,FALSE),"")</f>
        <v/>
      </c>
      <c r="B303" s="4" t="n"/>
    </row>
    <row r="304">
      <c r="A304" s="6">
        <f>IFERROR(VLOOKUP($B304,Company_Cat!$B$2:$E$623,2,FALSE),"")</f>
        <v/>
      </c>
      <c r="B304" s="4" t="n"/>
    </row>
    <row r="305">
      <c r="A305" s="6">
        <f>IFERROR(VLOOKUP($B305,Company_Cat!$B$2:$E$623,2,FALSE),"")</f>
        <v/>
      </c>
      <c r="B305" s="4" t="n"/>
    </row>
    <row r="306">
      <c r="A306" s="6">
        <f>IFERROR(VLOOKUP($B306,Company_Cat!$B$2:$E$623,2,FALSE),"")</f>
        <v/>
      </c>
      <c r="B306" s="4" t="n"/>
    </row>
    <row r="307">
      <c r="A307" s="6">
        <f>IFERROR(VLOOKUP($B307,Company_Cat!$B$2:$E$623,2,FALSE),"")</f>
        <v/>
      </c>
      <c r="B307" s="4" t="n"/>
    </row>
    <row r="308">
      <c r="A308" s="6">
        <f>IFERROR(VLOOKUP($B308,Company_Cat!$B$2:$E$623,2,FALSE),"")</f>
        <v/>
      </c>
      <c r="B308" s="4" t="n"/>
    </row>
    <row r="309">
      <c r="A309" s="6">
        <f>IFERROR(VLOOKUP($B309,Company_Cat!$B$2:$E$623,2,FALSE),"")</f>
        <v/>
      </c>
      <c r="B309" s="4" t="n"/>
    </row>
    <row r="310">
      <c r="A310" s="6">
        <f>IFERROR(VLOOKUP($B310,Company_Cat!$B$2:$E$623,2,FALSE),"")</f>
        <v/>
      </c>
      <c r="B310" s="4" t="n"/>
    </row>
    <row r="311">
      <c r="A311" s="6">
        <f>IFERROR(VLOOKUP($B311,Company_Cat!$B$2:$E$623,2,FALSE),"")</f>
        <v/>
      </c>
      <c r="B311" s="4" t="n"/>
    </row>
    <row r="312">
      <c r="A312" s="6">
        <f>IFERROR(VLOOKUP($B312,Company_Cat!$B$2:$E$623,2,FALSE),"")</f>
        <v/>
      </c>
      <c r="B312" s="4" t="n"/>
    </row>
    <row r="313">
      <c r="A313" s="6">
        <f>IFERROR(VLOOKUP($B313,Company_Cat!$B$2:$E$623,2,FALSE),"")</f>
        <v/>
      </c>
      <c r="B313" s="4" t="n"/>
    </row>
    <row r="314">
      <c r="A314" s="6">
        <f>IFERROR(VLOOKUP($B314,Company_Cat!$B$2:$E$623,2,FALSE),"")</f>
        <v/>
      </c>
      <c r="B314" s="4" t="n"/>
    </row>
    <row r="315">
      <c r="A315" s="6">
        <f>IFERROR(VLOOKUP($B315,Company_Cat!$B$2:$E$623,2,FALSE),"")</f>
        <v/>
      </c>
      <c r="B315" s="4" t="n"/>
    </row>
    <row r="316">
      <c r="A316" s="6">
        <f>IFERROR(VLOOKUP($B316,Company_Cat!$B$2:$E$623,2,FALSE),"")</f>
        <v/>
      </c>
      <c r="B316" s="4" t="n"/>
    </row>
    <row r="317">
      <c r="A317" s="6">
        <f>IFERROR(VLOOKUP($B317,Company_Cat!$B$2:$E$623,2,FALSE),"")</f>
        <v/>
      </c>
      <c r="B317" s="4" t="n"/>
    </row>
    <row r="318">
      <c r="A318" s="6">
        <f>IFERROR(VLOOKUP($B318,Company_Cat!$B$2:$E$623,2,FALSE),"")</f>
        <v/>
      </c>
      <c r="B318" s="4" t="n"/>
    </row>
    <row r="319">
      <c r="A319" s="6">
        <f>IFERROR(VLOOKUP($B319,Company_Cat!$B$2:$E$623,2,FALSE),"")</f>
        <v/>
      </c>
      <c r="B319" s="4" t="n"/>
    </row>
    <row r="320">
      <c r="A320" s="6">
        <f>IFERROR(VLOOKUP($B320,Company_Cat!$B$2:$E$623,2,FALSE),"")</f>
        <v/>
      </c>
      <c r="B320" s="4" t="n"/>
    </row>
    <row r="321">
      <c r="A321" s="6">
        <f>IFERROR(VLOOKUP($B321,Company_Cat!$B$2:$E$623,2,FALSE),"")</f>
        <v/>
      </c>
      <c r="B321" s="4" t="n"/>
    </row>
    <row r="322">
      <c r="A322" s="6">
        <f>IFERROR(VLOOKUP($B322,Company_Cat!$B$2:$E$623,2,FALSE),"")</f>
        <v/>
      </c>
      <c r="B322" s="4" t="n"/>
    </row>
    <row r="323">
      <c r="A323" s="6">
        <f>IFERROR(VLOOKUP($B323,Company_Cat!$B$2:$E$623,2,FALSE),"")</f>
        <v/>
      </c>
      <c r="B323" s="4" t="n"/>
    </row>
    <row r="324">
      <c r="A324" s="6">
        <f>IFERROR(VLOOKUP($B324,Company_Cat!$B$2:$E$623,2,FALSE),"")</f>
        <v/>
      </c>
      <c r="B324" s="4" t="n"/>
    </row>
    <row r="325">
      <c r="A325" s="6">
        <f>IFERROR(VLOOKUP($B325,Company_Cat!$B$2:$E$623,2,FALSE),"")</f>
        <v/>
      </c>
      <c r="B325" s="4" t="n"/>
    </row>
    <row r="326">
      <c r="A326" s="6">
        <f>IFERROR(VLOOKUP($B326,Company_Cat!$B$2:$E$623,2,FALSE),"")</f>
        <v/>
      </c>
      <c r="B326" s="4" t="n"/>
    </row>
    <row r="327">
      <c r="A327" s="6">
        <f>IFERROR(VLOOKUP($B327,Company_Cat!$B$2:$E$623,2,FALSE),"")</f>
        <v/>
      </c>
      <c r="B327" s="4" t="n"/>
    </row>
    <row r="328">
      <c r="A328" s="6">
        <f>IFERROR(VLOOKUP($B328,Company_Cat!$B$2:$E$623,2,FALSE),"")</f>
        <v/>
      </c>
      <c r="B328" s="4" t="n"/>
    </row>
    <row r="329">
      <c r="A329" s="6">
        <f>IFERROR(VLOOKUP($B329,Company_Cat!$B$2:$E$623,2,FALSE),"")</f>
        <v/>
      </c>
      <c r="B329" s="4" t="n"/>
    </row>
    <row r="330">
      <c r="A330" s="6">
        <f>IFERROR(VLOOKUP($B330,Company_Cat!$B$2:$E$623,2,FALSE),"")</f>
        <v/>
      </c>
      <c r="B330" s="4" t="n"/>
    </row>
    <row r="331">
      <c r="A331" s="6">
        <f>IFERROR(VLOOKUP($B331,Company_Cat!$B$2:$E$623,2,FALSE),"")</f>
        <v/>
      </c>
      <c r="B331" s="4" t="n"/>
    </row>
    <row r="332">
      <c r="A332" s="6">
        <f>IFERROR(VLOOKUP($B332,Company_Cat!$B$2:$E$623,2,FALSE),"")</f>
        <v/>
      </c>
      <c r="B332" s="4" t="n"/>
    </row>
    <row r="333">
      <c r="A333" s="6">
        <f>IFERROR(VLOOKUP($B333,Company_Cat!$B$2:$E$623,2,FALSE),"")</f>
        <v/>
      </c>
      <c r="B333" s="4" t="n"/>
    </row>
    <row r="334">
      <c r="A334" s="6">
        <f>IFERROR(VLOOKUP($B334,Company_Cat!$B$2:$E$623,2,FALSE),"")</f>
        <v/>
      </c>
      <c r="B334" s="4" t="n"/>
    </row>
    <row r="335">
      <c r="A335" s="6">
        <f>IFERROR(VLOOKUP($B335,Company_Cat!$B$2:$E$623,2,FALSE),"")</f>
        <v/>
      </c>
      <c r="B335" s="4" t="n"/>
    </row>
    <row r="336">
      <c r="A336" s="6">
        <f>IFERROR(VLOOKUP($B336,Company_Cat!$B$2:$E$623,2,FALSE),"")</f>
        <v/>
      </c>
      <c r="B336" s="4" t="n"/>
    </row>
    <row r="337">
      <c r="A337" s="6">
        <f>IFERROR(VLOOKUP($B337,Company_Cat!$B$2:$E$623,2,FALSE),"")</f>
        <v/>
      </c>
      <c r="B337" s="4" t="n"/>
    </row>
    <row r="338">
      <c r="A338" s="6">
        <f>IFERROR(VLOOKUP($B338,Company_Cat!$B$2:$E$623,2,FALSE),"")</f>
        <v/>
      </c>
      <c r="B338" s="4" t="n"/>
    </row>
    <row r="339">
      <c r="A339" s="6">
        <f>IFERROR(VLOOKUP($B339,Company_Cat!$B$2:$E$623,2,FALSE),"")</f>
        <v/>
      </c>
      <c r="B339" s="4" t="n"/>
    </row>
    <row r="340">
      <c r="A340" s="6">
        <f>IFERROR(VLOOKUP($B340,Company_Cat!$B$2:$E$623,2,FALSE),"")</f>
        <v/>
      </c>
      <c r="B340" s="4" t="n"/>
    </row>
    <row r="341">
      <c r="A341" s="6">
        <f>IFERROR(VLOOKUP($B341,Company_Cat!$B$2:$E$623,2,FALSE),"")</f>
        <v/>
      </c>
      <c r="B341" s="4" t="n"/>
    </row>
    <row r="342">
      <c r="A342" s="6">
        <f>IFERROR(VLOOKUP($B342,Company_Cat!$B$2:$E$623,2,FALSE),"")</f>
        <v/>
      </c>
      <c r="B342" s="4" t="n"/>
    </row>
    <row r="343">
      <c r="A343" s="6">
        <f>IFERROR(VLOOKUP($B343,Company_Cat!$B$2:$E$623,2,FALSE),"")</f>
        <v/>
      </c>
      <c r="B343" s="4" t="n"/>
    </row>
    <row r="344">
      <c r="A344" s="6">
        <f>IFERROR(VLOOKUP($B344,Company_Cat!$B$2:$E$623,2,FALSE),"")</f>
        <v/>
      </c>
      <c r="B344" s="4" t="n"/>
    </row>
    <row r="345">
      <c r="A345" s="6">
        <f>IFERROR(VLOOKUP($B345,Company_Cat!$B$2:$E$623,2,FALSE),"")</f>
        <v/>
      </c>
      <c r="B345" s="4" t="n"/>
    </row>
    <row r="346">
      <c r="A346" s="6">
        <f>IFERROR(VLOOKUP($B346,Company_Cat!$B$2:$E$623,2,FALSE),"")</f>
        <v/>
      </c>
      <c r="B346" s="4" t="n"/>
    </row>
    <row r="347">
      <c r="A347" s="6">
        <f>IFERROR(VLOOKUP($B347,Company_Cat!$B$2:$E$623,2,FALSE),"")</f>
        <v/>
      </c>
      <c r="B347" s="4" t="n"/>
    </row>
    <row r="348">
      <c r="A348" s="6">
        <f>IFERROR(VLOOKUP($B348,Company_Cat!$B$2:$E$623,2,FALSE),"")</f>
        <v/>
      </c>
      <c r="B348" s="4" t="n"/>
    </row>
    <row r="349">
      <c r="A349" s="6">
        <f>IFERROR(VLOOKUP($B349,Company_Cat!$B$2:$E$623,2,FALSE),"")</f>
        <v/>
      </c>
      <c r="B349" s="4" t="n"/>
    </row>
    <row r="350">
      <c r="A350" s="6">
        <f>IFERROR(VLOOKUP($B350,Company_Cat!$B$2:$E$623,2,FALSE),"")</f>
        <v/>
      </c>
      <c r="B350" s="4" t="n"/>
    </row>
    <row r="351">
      <c r="A351" s="6">
        <f>IFERROR(VLOOKUP($B351,Company_Cat!$B$2:$E$623,2,FALSE),"")</f>
        <v/>
      </c>
      <c r="B351" s="4" t="n"/>
    </row>
    <row r="352">
      <c r="A352" s="6">
        <f>IFERROR(VLOOKUP($B352,Company_Cat!$B$2:$E$623,2,FALSE),"")</f>
        <v/>
      </c>
      <c r="B352" s="4" t="n"/>
    </row>
    <row r="353">
      <c r="A353" s="6">
        <f>IFERROR(VLOOKUP($B353,Company_Cat!$B$2:$E$623,2,FALSE),"")</f>
        <v/>
      </c>
      <c r="B353" s="4" t="n"/>
    </row>
    <row r="354">
      <c r="A354" s="6">
        <f>IFERROR(VLOOKUP($B354,Company_Cat!$B$2:$E$623,2,FALSE),"")</f>
        <v/>
      </c>
      <c r="B354" s="4" t="n"/>
    </row>
    <row r="355">
      <c r="A355" s="6">
        <f>IFERROR(VLOOKUP($B355,Company_Cat!$B$2:$E$623,2,FALSE),"")</f>
        <v/>
      </c>
      <c r="B355" s="4" t="n"/>
    </row>
    <row r="356">
      <c r="A356" s="6">
        <f>IFERROR(VLOOKUP($B356,Company_Cat!$B$2:$E$623,2,FALSE),"")</f>
        <v/>
      </c>
      <c r="B356" s="4" t="n"/>
    </row>
    <row r="357">
      <c r="A357" s="6">
        <f>IFERROR(VLOOKUP($B357,Company_Cat!$B$2:$E$623,2,FALSE),"")</f>
        <v/>
      </c>
      <c r="B357" s="4" t="n"/>
    </row>
    <row r="358">
      <c r="A358" s="6">
        <f>IFERROR(VLOOKUP($B358,Company_Cat!$B$2:$E$623,2,FALSE),"")</f>
        <v/>
      </c>
      <c r="B358" s="4" t="n"/>
    </row>
    <row r="359">
      <c r="A359" s="6">
        <f>IFERROR(VLOOKUP($B359,Company_Cat!$B$2:$E$623,2,FALSE),"")</f>
        <v/>
      </c>
      <c r="B359" s="4" t="n"/>
    </row>
    <row r="360">
      <c r="A360" s="6">
        <f>IFERROR(VLOOKUP($B360,Company_Cat!$B$2:$E$623,2,FALSE),"")</f>
        <v/>
      </c>
      <c r="B360" s="4" t="n"/>
    </row>
    <row r="361">
      <c r="A361" s="6">
        <f>IFERROR(VLOOKUP($B361,Company_Cat!$B$2:$E$623,2,FALSE),"")</f>
        <v/>
      </c>
      <c r="B361" s="4" t="n"/>
    </row>
    <row r="362">
      <c r="A362" s="6">
        <f>IFERROR(VLOOKUP($B362,Company_Cat!$B$2:$E$623,2,FALSE),"")</f>
        <v/>
      </c>
      <c r="B362" s="4" t="n"/>
    </row>
    <row r="363">
      <c r="A363" s="6">
        <f>IFERROR(VLOOKUP($B363,Company_Cat!$B$2:$E$623,2,FALSE),"")</f>
        <v/>
      </c>
      <c r="B363" s="4" t="n"/>
    </row>
    <row r="364">
      <c r="A364" s="6">
        <f>IFERROR(VLOOKUP($B364,Company_Cat!$B$2:$E$623,2,FALSE),"")</f>
        <v/>
      </c>
      <c r="B364" s="4" t="n"/>
    </row>
    <row r="365">
      <c r="A365" s="6">
        <f>IFERROR(VLOOKUP($B365,Company_Cat!$B$2:$E$623,2,FALSE),"")</f>
        <v/>
      </c>
      <c r="B365" s="4" t="n"/>
    </row>
    <row r="366">
      <c r="A366" s="6">
        <f>IFERROR(VLOOKUP($B366,Company_Cat!$B$2:$E$623,2,FALSE),"")</f>
        <v/>
      </c>
      <c r="B366" s="4" t="n"/>
    </row>
    <row r="367">
      <c r="A367" s="6">
        <f>IFERROR(VLOOKUP($B367,Company_Cat!$B$2:$E$623,2,FALSE),"")</f>
        <v/>
      </c>
      <c r="B367" s="4" t="n"/>
    </row>
    <row r="368">
      <c r="A368" s="6">
        <f>IFERROR(VLOOKUP($B368,Company_Cat!$B$2:$E$623,2,FALSE),"")</f>
        <v/>
      </c>
      <c r="B368" s="4" t="n"/>
    </row>
    <row r="369">
      <c r="A369" s="6">
        <f>IFERROR(VLOOKUP($B369,Company_Cat!$B$2:$E$623,2,FALSE),"")</f>
        <v/>
      </c>
      <c r="B369" s="4" t="n"/>
    </row>
    <row r="370">
      <c r="A370" s="6">
        <f>IFERROR(VLOOKUP($B370,Company_Cat!$B$2:$E$623,2,FALSE),"")</f>
        <v/>
      </c>
      <c r="B370" s="4" t="n"/>
    </row>
    <row r="371">
      <c r="A371" s="6">
        <f>IFERROR(VLOOKUP($B371,Company_Cat!$B$2:$E$623,2,FALSE),"")</f>
        <v/>
      </c>
      <c r="B371" s="4" t="n"/>
    </row>
    <row r="372">
      <c r="A372" s="6">
        <f>IFERROR(VLOOKUP($B372,Company_Cat!$B$2:$E$623,2,FALSE),"")</f>
        <v/>
      </c>
      <c r="B372" s="4" t="n"/>
    </row>
    <row r="373">
      <c r="A373" s="6">
        <f>IFERROR(VLOOKUP($B373,Company_Cat!$B$2:$E$623,2,FALSE),"")</f>
        <v/>
      </c>
      <c r="B373" s="4" t="n"/>
    </row>
    <row r="374">
      <c r="A374" s="6">
        <f>IFERROR(VLOOKUP($B374,Company_Cat!$B$2:$E$623,2,FALSE),"")</f>
        <v/>
      </c>
      <c r="B374" s="4" t="n"/>
    </row>
    <row r="375">
      <c r="A375" s="6">
        <f>IFERROR(VLOOKUP($B375,Company_Cat!$B$2:$E$623,2,FALSE),"")</f>
        <v/>
      </c>
      <c r="B375" s="4" t="n"/>
    </row>
    <row r="376">
      <c r="A376" s="6">
        <f>IFERROR(VLOOKUP($B376,Company_Cat!$B$2:$E$623,2,FALSE),"")</f>
        <v/>
      </c>
      <c r="B376" s="4" t="n"/>
    </row>
    <row r="377">
      <c r="A377" s="6">
        <f>IFERROR(VLOOKUP($B377,Company_Cat!$B$2:$E$623,2,FALSE),"")</f>
        <v/>
      </c>
      <c r="B377" s="4" t="n"/>
    </row>
    <row r="378">
      <c r="A378" s="6">
        <f>IFERROR(VLOOKUP($B378,Company_Cat!$B$2:$E$623,2,FALSE),"")</f>
        <v/>
      </c>
      <c r="B378" s="4" t="n"/>
    </row>
    <row r="379">
      <c r="A379" s="6">
        <f>IFERROR(VLOOKUP($B379,Company_Cat!$B$2:$E$623,2,FALSE),"")</f>
        <v/>
      </c>
      <c r="B379" s="4" t="n"/>
    </row>
    <row r="380">
      <c r="A380" s="6">
        <f>IFERROR(VLOOKUP($B380,Company_Cat!$B$2:$E$623,2,FALSE),"")</f>
        <v/>
      </c>
      <c r="B380" s="4" t="n"/>
    </row>
    <row r="381">
      <c r="A381" s="6">
        <f>IFERROR(VLOOKUP($B381,Company_Cat!$B$2:$E$623,2,FALSE),"")</f>
        <v/>
      </c>
      <c r="B381" s="4" t="n"/>
    </row>
    <row r="382">
      <c r="A382" s="6">
        <f>IFERROR(VLOOKUP($B382,Company_Cat!$B$2:$E$623,2,FALSE),"")</f>
        <v/>
      </c>
      <c r="B382" s="4" t="n"/>
    </row>
    <row r="383">
      <c r="A383" s="6">
        <f>IFERROR(VLOOKUP($B383,Company_Cat!$B$2:$E$623,2,FALSE),"")</f>
        <v/>
      </c>
      <c r="B383" s="4" t="n"/>
    </row>
    <row r="384">
      <c r="A384" s="6">
        <f>IFERROR(VLOOKUP($B384,Company_Cat!$B$2:$E$623,2,FALSE),"")</f>
        <v/>
      </c>
      <c r="B384" s="4" t="n"/>
    </row>
    <row r="385">
      <c r="A385" s="6">
        <f>IFERROR(VLOOKUP($B385,Company_Cat!$B$2:$E$623,2,FALSE),"")</f>
        <v/>
      </c>
      <c r="B385" s="4" t="n"/>
    </row>
    <row r="386">
      <c r="A386" s="6">
        <f>IFERROR(VLOOKUP($B386,Company_Cat!$B$2:$E$623,2,FALSE),"")</f>
        <v/>
      </c>
      <c r="B386" s="4" t="n"/>
    </row>
    <row r="387">
      <c r="A387" s="6">
        <f>IFERROR(VLOOKUP($B387,Company_Cat!$B$2:$E$623,2,FALSE),"")</f>
        <v/>
      </c>
      <c r="B387" s="4" t="n"/>
    </row>
    <row r="388">
      <c r="A388" s="6">
        <f>IFERROR(VLOOKUP($B388,Company_Cat!$B$2:$E$623,2,FALSE),"")</f>
        <v/>
      </c>
      <c r="B388" s="4" t="n"/>
    </row>
    <row r="389">
      <c r="A389" s="6">
        <f>IFERROR(VLOOKUP($B389,Company_Cat!$B$2:$E$623,2,FALSE),"")</f>
        <v/>
      </c>
      <c r="B389" s="4" t="n"/>
    </row>
    <row r="390">
      <c r="A390" s="6">
        <f>IFERROR(VLOOKUP($B390,Company_Cat!$B$2:$E$623,2,FALSE),"")</f>
        <v/>
      </c>
      <c r="B390" s="4" t="n"/>
    </row>
    <row r="391">
      <c r="A391" s="6">
        <f>IFERROR(VLOOKUP($B391,Company_Cat!$B$2:$E$623,2,FALSE),"")</f>
        <v/>
      </c>
      <c r="B391" s="4" t="n"/>
    </row>
    <row r="392">
      <c r="A392" s="6">
        <f>IFERROR(VLOOKUP($B392,Company_Cat!$B$2:$E$623,2,FALSE),"")</f>
        <v/>
      </c>
      <c r="B392" s="4" t="n"/>
    </row>
    <row r="393">
      <c r="A393" s="6">
        <f>IFERROR(VLOOKUP($B393,Company_Cat!$B$2:$E$623,2,FALSE),"")</f>
        <v/>
      </c>
      <c r="B393" s="4" t="n"/>
    </row>
    <row r="394">
      <c r="A394" s="6">
        <f>IFERROR(VLOOKUP($B394,Company_Cat!$B$2:$E$623,2,FALSE),"")</f>
        <v/>
      </c>
      <c r="B394" s="4" t="n"/>
    </row>
    <row r="395">
      <c r="A395" s="6">
        <f>IFERROR(VLOOKUP($B395,Company_Cat!$B$2:$E$623,2,FALSE),"")</f>
        <v/>
      </c>
      <c r="B395" s="4" t="n"/>
    </row>
    <row r="396">
      <c r="A396" s="6">
        <f>IFERROR(VLOOKUP($B396,Company_Cat!$B$2:$E$623,2,FALSE),"")</f>
        <v/>
      </c>
      <c r="B396" s="4" t="n"/>
    </row>
    <row r="397">
      <c r="A397" s="6">
        <f>IFERROR(VLOOKUP($B397,Company_Cat!$B$2:$E$623,2,FALSE),"")</f>
        <v/>
      </c>
      <c r="B397" s="4" t="n"/>
    </row>
    <row r="398">
      <c r="A398" s="6">
        <f>IFERROR(VLOOKUP($B398,Company_Cat!$B$2:$E$623,2,FALSE),"")</f>
        <v/>
      </c>
      <c r="B398" s="4" t="n"/>
    </row>
    <row r="399">
      <c r="A399" s="6">
        <f>IFERROR(VLOOKUP($B399,Company_Cat!$B$2:$E$623,2,FALSE),"")</f>
        <v/>
      </c>
      <c r="B399" s="4" t="n"/>
    </row>
    <row r="400">
      <c r="A400" s="6">
        <f>IFERROR(VLOOKUP($B400,Company_Cat!$B$2:$E$623,2,FALSE),"")</f>
        <v/>
      </c>
      <c r="B400" s="4" t="n"/>
    </row>
    <row r="401">
      <c r="A401" s="6">
        <f>IFERROR(VLOOKUP($B401,Company_Cat!$B$2:$E$623,2,FALSE),"")</f>
        <v/>
      </c>
      <c r="B401" s="4" t="n"/>
    </row>
    <row r="402">
      <c r="A402" s="6">
        <f>IFERROR(VLOOKUP($B402,Company_Cat!$B$2:$E$623,2,FALSE),"")</f>
        <v/>
      </c>
      <c r="B402" s="4" t="n"/>
    </row>
    <row r="403">
      <c r="A403" s="6">
        <f>IFERROR(VLOOKUP($B403,Company_Cat!$B$2:$E$623,2,FALSE),"")</f>
        <v/>
      </c>
      <c r="B403" s="4" t="n"/>
    </row>
    <row r="404">
      <c r="A404" s="6">
        <f>IFERROR(VLOOKUP($B404,Company_Cat!$B$2:$E$623,2,FALSE),"")</f>
        <v/>
      </c>
      <c r="B404" s="4" t="n"/>
    </row>
    <row r="405">
      <c r="A405" s="6">
        <f>IFERROR(VLOOKUP($B405,Company_Cat!$B$2:$E$623,2,FALSE),"")</f>
        <v/>
      </c>
      <c r="B405" s="4" t="n"/>
    </row>
    <row r="406">
      <c r="A406" s="6">
        <f>IFERROR(VLOOKUP($B406,Company_Cat!$B$2:$E$623,2,FALSE),"")</f>
        <v/>
      </c>
      <c r="B406" s="4" t="n"/>
    </row>
    <row r="407">
      <c r="A407" s="6">
        <f>IFERROR(VLOOKUP($B407,Company_Cat!$B$2:$E$623,2,FALSE),"")</f>
        <v/>
      </c>
      <c r="B407" s="4" t="n"/>
    </row>
    <row r="408">
      <c r="A408" s="6">
        <f>IFERROR(VLOOKUP($B408,Company_Cat!$B$2:$E$623,2,FALSE),"")</f>
        <v/>
      </c>
      <c r="B408" s="4" t="n"/>
    </row>
    <row r="409">
      <c r="A409" s="6">
        <f>IFERROR(VLOOKUP($B409,Company_Cat!$B$2:$E$623,2,FALSE),"")</f>
        <v/>
      </c>
      <c r="B409" s="4" t="n"/>
    </row>
    <row r="410">
      <c r="A410" s="6">
        <f>IFERROR(VLOOKUP($B410,Company_Cat!$B$2:$E$623,2,FALSE),"")</f>
        <v/>
      </c>
      <c r="B410" s="4" t="n"/>
    </row>
    <row r="411">
      <c r="A411" s="6">
        <f>IFERROR(VLOOKUP($B411,Company_Cat!$B$2:$E$623,2,FALSE),"")</f>
        <v/>
      </c>
      <c r="B411" s="4" t="n"/>
    </row>
    <row r="412">
      <c r="A412" s="6">
        <f>IFERROR(VLOOKUP($B412,Company_Cat!$B$2:$E$623,2,FALSE),"")</f>
        <v/>
      </c>
      <c r="B412" s="4" t="n"/>
    </row>
    <row r="413">
      <c r="A413" s="6">
        <f>IFERROR(VLOOKUP($B413,Company_Cat!$B$2:$E$623,2,FALSE),"")</f>
        <v/>
      </c>
      <c r="B413" s="4" t="n"/>
    </row>
    <row r="414">
      <c r="A414" s="6">
        <f>IFERROR(VLOOKUP($B414,Company_Cat!$B$2:$E$623,2,FALSE),"")</f>
        <v/>
      </c>
      <c r="B414" s="4" t="n"/>
    </row>
    <row r="415">
      <c r="A415" s="6">
        <f>IFERROR(VLOOKUP($B415,Company_Cat!$B$2:$E$623,2,FALSE),"")</f>
        <v/>
      </c>
      <c r="B415" s="4" t="n"/>
    </row>
    <row r="416">
      <c r="A416" s="6">
        <f>IFERROR(VLOOKUP($B416,Company_Cat!$B$2:$E$623,2,FALSE),"")</f>
        <v/>
      </c>
      <c r="B416" s="4" t="n"/>
    </row>
    <row r="417">
      <c r="A417" s="6">
        <f>IFERROR(VLOOKUP($B417,Company_Cat!$B$2:$E$623,2,FALSE),"")</f>
        <v/>
      </c>
      <c r="B417" s="4" t="n"/>
    </row>
    <row r="418">
      <c r="A418" s="6">
        <f>IFERROR(VLOOKUP($B418,Company_Cat!$B$2:$E$623,2,FALSE),"")</f>
        <v/>
      </c>
      <c r="B418" s="4" t="n"/>
    </row>
    <row r="419">
      <c r="A419" s="6">
        <f>IFERROR(VLOOKUP($B419,Company_Cat!$B$2:$E$623,2,FALSE),"")</f>
        <v/>
      </c>
      <c r="B419" s="4" t="n"/>
    </row>
    <row r="420">
      <c r="A420" s="6">
        <f>IFERROR(VLOOKUP($B420,Company_Cat!$B$2:$E$623,2,FALSE),"")</f>
        <v/>
      </c>
      <c r="B420" s="4" t="n"/>
    </row>
    <row r="421">
      <c r="A421" s="6">
        <f>IFERROR(VLOOKUP($B421,Company_Cat!$B$2:$E$623,2,FALSE),"")</f>
        <v/>
      </c>
      <c r="B421" s="4" t="n"/>
    </row>
    <row r="422">
      <c r="A422" s="6">
        <f>IFERROR(VLOOKUP($B422,Company_Cat!$B$2:$E$623,2,FALSE),"")</f>
        <v/>
      </c>
      <c r="B422" s="4" t="n"/>
    </row>
    <row r="423">
      <c r="A423" s="6">
        <f>IFERROR(VLOOKUP($B423,Company_Cat!$B$2:$E$623,2,FALSE),"")</f>
        <v/>
      </c>
      <c r="B423" s="4" t="n"/>
    </row>
    <row r="424">
      <c r="A424" s="6">
        <f>IFERROR(VLOOKUP($B424,Company_Cat!$B$2:$E$623,2,FALSE),"")</f>
        <v/>
      </c>
      <c r="B424" s="4" t="n"/>
    </row>
    <row r="425">
      <c r="A425" s="6">
        <f>IFERROR(VLOOKUP($B425,Company_Cat!$B$2:$E$623,2,FALSE),"")</f>
        <v/>
      </c>
      <c r="B425" s="4" t="n"/>
    </row>
    <row r="426">
      <c r="A426" s="6">
        <f>IFERROR(VLOOKUP($B426,Company_Cat!$B$2:$E$623,2,FALSE),"")</f>
        <v/>
      </c>
      <c r="B426" s="4" t="n"/>
    </row>
    <row r="427">
      <c r="A427" s="6">
        <f>IFERROR(VLOOKUP($B427,Company_Cat!$B$2:$E$623,2,FALSE),"")</f>
        <v/>
      </c>
      <c r="B427" s="4" t="n"/>
    </row>
    <row r="428">
      <c r="A428" s="6">
        <f>IFERROR(VLOOKUP($B428,Company_Cat!$B$2:$E$623,2,FALSE),"")</f>
        <v/>
      </c>
      <c r="B428" s="4" t="n"/>
    </row>
    <row r="429">
      <c r="A429" s="6">
        <f>IFERROR(VLOOKUP($B429,Company_Cat!$B$2:$E$623,2,FALSE),"")</f>
        <v/>
      </c>
      <c r="B429" s="4" t="n"/>
    </row>
    <row r="430">
      <c r="A430" s="6">
        <f>IFERROR(VLOOKUP($B430,Company_Cat!$B$2:$E$623,2,FALSE),"")</f>
        <v/>
      </c>
      <c r="B430" s="4" t="n"/>
    </row>
    <row r="431">
      <c r="A431" s="6">
        <f>IFERROR(VLOOKUP($B431,Company_Cat!$B$2:$E$623,2,FALSE),"")</f>
        <v/>
      </c>
      <c r="B431" s="4" t="n"/>
    </row>
    <row r="432">
      <c r="A432" s="6">
        <f>IFERROR(VLOOKUP($B432,Company_Cat!$B$2:$E$623,2,FALSE),"")</f>
        <v/>
      </c>
      <c r="B432" s="4" t="n"/>
    </row>
    <row r="433">
      <c r="A433" s="6">
        <f>IFERROR(VLOOKUP($B433,Company_Cat!$B$2:$E$623,2,FALSE),"")</f>
        <v/>
      </c>
      <c r="B433" s="4" t="n"/>
    </row>
    <row r="434">
      <c r="A434" s="6">
        <f>IFERROR(VLOOKUP($B434,Company_Cat!$B$2:$E$623,2,FALSE),"")</f>
        <v/>
      </c>
      <c r="B434" s="4" t="n"/>
    </row>
    <row r="435">
      <c r="A435" s="6">
        <f>IFERROR(VLOOKUP($B435,Company_Cat!$B$2:$E$623,2,FALSE),"")</f>
        <v/>
      </c>
      <c r="B435" s="4" t="n"/>
    </row>
    <row r="436">
      <c r="A436" s="6">
        <f>IFERROR(VLOOKUP($B436,Company_Cat!$B$2:$E$623,2,FALSE),"")</f>
        <v/>
      </c>
      <c r="B436" s="4" t="n"/>
    </row>
    <row r="437">
      <c r="A437" s="6">
        <f>IFERROR(VLOOKUP($B437,Company_Cat!$B$2:$E$623,2,FALSE),"")</f>
        <v/>
      </c>
      <c r="B437" s="4" t="n"/>
    </row>
    <row r="438">
      <c r="A438" s="6">
        <f>IFERROR(VLOOKUP($B438,Company_Cat!$B$2:$E$623,2,FALSE),"")</f>
        <v/>
      </c>
      <c r="B438" s="4" t="n"/>
    </row>
    <row r="439">
      <c r="A439" s="6">
        <f>IFERROR(VLOOKUP($B439,Company_Cat!$B$2:$E$623,2,FALSE),"")</f>
        <v/>
      </c>
      <c r="B439" s="4" t="n"/>
    </row>
    <row r="440">
      <c r="A440" s="6">
        <f>IFERROR(VLOOKUP($B440,Company_Cat!$B$2:$E$623,2,FALSE),"")</f>
        <v/>
      </c>
      <c r="B440" s="4" t="n"/>
    </row>
    <row r="441">
      <c r="A441" s="6">
        <f>IFERROR(VLOOKUP($B441,Company_Cat!$B$2:$E$623,2,FALSE),"")</f>
        <v/>
      </c>
      <c r="B441" s="4" t="n"/>
    </row>
    <row r="442">
      <c r="A442" s="6">
        <f>IFERROR(VLOOKUP($B442,Company_Cat!$B$2:$E$623,2,FALSE),"")</f>
        <v/>
      </c>
      <c r="B442" s="4" t="n"/>
    </row>
    <row r="443">
      <c r="A443" s="6">
        <f>IFERROR(VLOOKUP($B443,Company_Cat!$B$2:$E$623,2,FALSE),"")</f>
        <v/>
      </c>
      <c r="B443" s="4" t="n"/>
    </row>
    <row r="444">
      <c r="A444" s="6">
        <f>IFERROR(VLOOKUP($B444,Company_Cat!$B$2:$E$623,2,FALSE),"")</f>
        <v/>
      </c>
      <c r="B444" s="4" t="n"/>
    </row>
    <row r="445">
      <c r="A445" s="6">
        <f>IFERROR(VLOOKUP($B445,Company_Cat!$B$2:$E$623,2,FALSE),"")</f>
        <v/>
      </c>
      <c r="B445" s="4" t="n"/>
    </row>
    <row r="446">
      <c r="A446" s="6">
        <f>IFERROR(VLOOKUP($B446,Company_Cat!$B$2:$E$623,2,FALSE),"")</f>
        <v/>
      </c>
      <c r="B446" s="4" t="n"/>
    </row>
    <row r="447">
      <c r="A447" s="6">
        <f>IFERROR(VLOOKUP($B447,Company_Cat!$B$2:$E$623,2,FALSE),"")</f>
        <v/>
      </c>
      <c r="B447" s="4" t="n"/>
    </row>
    <row r="448">
      <c r="A448" s="6">
        <f>IFERROR(VLOOKUP($B448,Company_Cat!$B$2:$E$623,2,FALSE),"")</f>
        <v/>
      </c>
      <c r="B448" s="4" t="n"/>
    </row>
    <row r="449">
      <c r="A449" s="6">
        <f>IFERROR(VLOOKUP($B449,Company_Cat!$B$2:$E$623,2,FALSE),"")</f>
        <v/>
      </c>
      <c r="B449" s="4" t="n"/>
    </row>
    <row r="450">
      <c r="A450" s="6">
        <f>IFERROR(VLOOKUP($B450,Company_Cat!$B$2:$E$623,2,FALSE),"")</f>
        <v/>
      </c>
      <c r="B450" s="4" t="n"/>
    </row>
    <row r="451">
      <c r="A451" s="6">
        <f>IFERROR(VLOOKUP($B451,Company_Cat!$B$2:$E$623,2,FALSE),"")</f>
        <v/>
      </c>
      <c r="B451" s="4" t="n"/>
    </row>
    <row r="452">
      <c r="A452" s="6">
        <f>IFERROR(VLOOKUP($B452,Company_Cat!$B$2:$E$623,2,FALSE),"")</f>
        <v/>
      </c>
      <c r="B452" s="4" t="n"/>
    </row>
    <row r="453">
      <c r="A453" s="6">
        <f>IFERROR(VLOOKUP($B453,Company_Cat!$B$2:$E$623,2,FALSE),"")</f>
        <v/>
      </c>
      <c r="B453" s="4" t="n"/>
    </row>
    <row r="454">
      <c r="A454" s="6">
        <f>IFERROR(VLOOKUP($B454,Company_Cat!$B$2:$E$623,2,FALSE),"")</f>
        <v/>
      </c>
      <c r="B454" s="4" t="n"/>
    </row>
    <row r="455">
      <c r="A455" s="6">
        <f>IFERROR(VLOOKUP($B455,Company_Cat!$B$2:$E$623,2,FALSE),"")</f>
        <v/>
      </c>
      <c r="B455" s="4" t="n"/>
    </row>
    <row r="456">
      <c r="A456" s="6">
        <f>IFERROR(VLOOKUP($B456,Company_Cat!$B$2:$E$623,2,FALSE),"")</f>
        <v/>
      </c>
      <c r="B456" s="4" t="n"/>
    </row>
    <row r="457">
      <c r="A457" s="6">
        <f>IFERROR(VLOOKUP($B457,Company_Cat!$B$2:$E$623,2,FALSE),"")</f>
        <v/>
      </c>
      <c r="B457" s="4" t="n"/>
    </row>
    <row r="458">
      <c r="A458" s="6">
        <f>IFERROR(VLOOKUP($B458,Company_Cat!$B$2:$E$623,2,FALSE),"")</f>
        <v/>
      </c>
      <c r="B458" s="4" t="n"/>
    </row>
    <row r="459">
      <c r="A459" s="6">
        <f>IFERROR(VLOOKUP($B459,Company_Cat!$B$2:$E$623,2,FALSE),"")</f>
        <v/>
      </c>
      <c r="B459" s="4" t="n"/>
    </row>
    <row r="460">
      <c r="A460" s="6">
        <f>IFERROR(VLOOKUP($B460,Company_Cat!$B$2:$E$623,2,FALSE),"")</f>
        <v/>
      </c>
      <c r="B460" s="4" t="n"/>
    </row>
    <row r="461">
      <c r="A461" s="6">
        <f>IFERROR(VLOOKUP($B461,Company_Cat!$B$2:$E$623,2,FALSE),"")</f>
        <v/>
      </c>
      <c r="B461" s="4" t="n"/>
    </row>
    <row r="462">
      <c r="A462" s="6">
        <f>IFERROR(VLOOKUP($B462,Company_Cat!$B$2:$E$623,2,FALSE),"")</f>
        <v/>
      </c>
      <c r="B462" s="4" t="n"/>
    </row>
    <row r="463">
      <c r="A463" s="6">
        <f>IFERROR(VLOOKUP($B463,Company_Cat!$B$2:$E$623,2,FALSE),"")</f>
        <v/>
      </c>
      <c r="B463" s="4" t="n"/>
    </row>
    <row r="464">
      <c r="A464" s="6">
        <f>IFERROR(VLOOKUP($B464,Company_Cat!$B$2:$E$623,2,FALSE),"")</f>
        <v/>
      </c>
      <c r="B464" s="4" t="n"/>
    </row>
    <row r="465">
      <c r="A465" s="6">
        <f>IFERROR(VLOOKUP($B465,Company_Cat!$B$2:$E$623,2,FALSE),"")</f>
        <v/>
      </c>
      <c r="B465" s="4" t="n"/>
    </row>
    <row r="466">
      <c r="A466" s="6">
        <f>IFERROR(VLOOKUP($B466,Company_Cat!$B$2:$E$623,2,FALSE),"")</f>
        <v/>
      </c>
      <c r="B466" s="4" t="n"/>
    </row>
    <row r="467">
      <c r="A467" s="6">
        <f>IFERROR(VLOOKUP($B467,Company_Cat!$B$2:$E$623,2,FALSE),"")</f>
        <v/>
      </c>
      <c r="B467" s="4" t="n"/>
    </row>
    <row r="468">
      <c r="A468" s="6">
        <f>IFERROR(VLOOKUP($B468,Company_Cat!$B$2:$E$623,2,FALSE),"")</f>
        <v/>
      </c>
      <c r="B468" s="4" t="n"/>
    </row>
    <row r="469">
      <c r="A469" s="6">
        <f>IFERROR(VLOOKUP($B469,Company_Cat!$B$2:$E$623,2,FALSE),"")</f>
        <v/>
      </c>
      <c r="B469" s="4" t="n"/>
    </row>
    <row r="470">
      <c r="A470" s="6">
        <f>IFERROR(VLOOKUP($B470,Company_Cat!$B$2:$E$623,2,FALSE),"")</f>
        <v/>
      </c>
      <c r="B470" s="4" t="n"/>
    </row>
    <row r="471">
      <c r="A471" s="6">
        <f>IFERROR(VLOOKUP($B471,Company_Cat!$B$2:$E$623,2,FALSE),"")</f>
        <v/>
      </c>
      <c r="B471" s="4" t="n"/>
    </row>
    <row r="472">
      <c r="A472" s="6">
        <f>IFERROR(VLOOKUP($B472,Company_Cat!$B$2:$E$623,2,FALSE),"")</f>
        <v/>
      </c>
      <c r="B472" s="4" t="n"/>
    </row>
    <row r="473">
      <c r="A473" s="6">
        <f>IFERROR(VLOOKUP($B473,Company_Cat!$B$2:$E$623,2,FALSE),"")</f>
        <v/>
      </c>
      <c r="B473" s="4" t="n"/>
    </row>
    <row r="474">
      <c r="A474" s="6">
        <f>IFERROR(VLOOKUP($B474,Company_Cat!$B$2:$E$623,2,FALSE),"")</f>
        <v/>
      </c>
      <c r="B474" s="4" t="n"/>
    </row>
    <row r="475">
      <c r="A475" s="6">
        <f>IFERROR(VLOOKUP($B475,Company_Cat!$B$2:$E$623,2,FALSE),"")</f>
        <v/>
      </c>
      <c r="B475" s="4" t="n"/>
    </row>
    <row r="476">
      <c r="A476" s="6">
        <f>IFERROR(VLOOKUP($B476,Company_Cat!$B$2:$E$623,2,FALSE),"")</f>
        <v/>
      </c>
      <c r="B476" s="4" t="n"/>
    </row>
    <row r="477">
      <c r="A477" s="6">
        <f>IFERROR(VLOOKUP($B477,Company_Cat!$B$2:$E$623,2,FALSE),"")</f>
        <v/>
      </c>
      <c r="B477" s="4" t="n"/>
    </row>
    <row r="478">
      <c r="A478" s="6">
        <f>IFERROR(VLOOKUP($B478,Company_Cat!$B$2:$E$623,2,FALSE),"")</f>
        <v/>
      </c>
      <c r="B478" s="4" t="n"/>
    </row>
    <row r="479">
      <c r="A479" s="6">
        <f>IFERROR(VLOOKUP($B479,Company_Cat!$B$2:$E$623,2,FALSE),"")</f>
        <v/>
      </c>
      <c r="B479" s="4" t="n"/>
    </row>
    <row r="480">
      <c r="A480" s="6">
        <f>IFERROR(VLOOKUP($B480,Company_Cat!$B$2:$E$623,2,FALSE),"")</f>
        <v/>
      </c>
      <c r="B480" s="4" t="n"/>
    </row>
    <row r="481">
      <c r="A481" s="6">
        <f>IFERROR(VLOOKUP($B481,Company_Cat!$B$2:$E$623,2,FALSE),"")</f>
        <v/>
      </c>
      <c r="B481" s="4" t="n"/>
    </row>
    <row r="482">
      <c r="A482" s="6">
        <f>IFERROR(VLOOKUP($B482,Company_Cat!$B$2:$E$623,2,FALSE),"")</f>
        <v/>
      </c>
      <c r="B482" s="4" t="n"/>
    </row>
    <row r="483">
      <c r="A483" s="6">
        <f>IFERROR(VLOOKUP($B483,Company_Cat!$B$2:$E$623,2,FALSE),"")</f>
        <v/>
      </c>
      <c r="B483" s="4" t="n"/>
    </row>
    <row r="484">
      <c r="A484" s="6">
        <f>IFERROR(VLOOKUP($B484,Company_Cat!$B$2:$E$623,2,FALSE),"")</f>
        <v/>
      </c>
      <c r="B484" s="4" t="n"/>
    </row>
    <row r="485">
      <c r="A485" s="6">
        <f>IFERROR(VLOOKUP($B485,Company_Cat!$B$2:$E$623,2,FALSE),"")</f>
        <v/>
      </c>
      <c r="B485" s="4" t="n"/>
    </row>
    <row r="486">
      <c r="A486" s="6">
        <f>IFERROR(VLOOKUP($B486,Company_Cat!$B$2:$E$623,2,FALSE),"")</f>
        <v/>
      </c>
      <c r="B486" s="4" t="n"/>
    </row>
    <row r="487">
      <c r="A487" s="6">
        <f>IFERROR(VLOOKUP($B487,Company_Cat!$B$2:$E$623,2,FALSE),"")</f>
        <v/>
      </c>
      <c r="B487" s="4" t="n"/>
    </row>
    <row r="488">
      <c r="A488" s="6">
        <f>IFERROR(VLOOKUP($B488,Company_Cat!$B$2:$E$623,2,FALSE),"")</f>
        <v/>
      </c>
      <c r="B488" s="4" t="n"/>
    </row>
    <row r="489">
      <c r="A489" s="6">
        <f>IFERROR(VLOOKUP($B489,Company_Cat!$B$2:$E$623,2,FALSE),"")</f>
        <v/>
      </c>
      <c r="B489" s="4" t="n"/>
    </row>
    <row r="490">
      <c r="A490" s="6">
        <f>IFERROR(VLOOKUP($B490,Company_Cat!$B$2:$E$623,2,FALSE),"")</f>
        <v/>
      </c>
      <c r="B490" s="4" t="n"/>
    </row>
    <row r="491">
      <c r="A491" s="6">
        <f>IFERROR(VLOOKUP($B491,Company_Cat!$B$2:$E$623,2,FALSE),"")</f>
        <v/>
      </c>
      <c r="B491" s="4" t="n"/>
    </row>
    <row r="492">
      <c r="A492" s="6">
        <f>IFERROR(VLOOKUP($B492,Company_Cat!$B$2:$E$623,2,FALSE),"")</f>
        <v/>
      </c>
      <c r="B492" s="4" t="n"/>
    </row>
    <row r="493">
      <c r="A493" s="6">
        <f>IFERROR(VLOOKUP($B493,Company_Cat!$B$2:$E$623,2,FALSE),"")</f>
        <v/>
      </c>
      <c r="B493" s="4" t="n"/>
    </row>
    <row r="494">
      <c r="A494" s="6">
        <f>IFERROR(VLOOKUP($B494,Company_Cat!$B$2:$E$623,2,FALSE),"")</f>
        <v/>
      </c>
      <c r="B494" s="4" t="n"/>
    </row>
    <row r="495">
      <c r="A495" s="6">
        <f>IFERROR(VLOOKUP($B495,Company_Cat!$B$2:$E$623,2,FALSE),"")</f>
        <v/>
      </c>
      <c r="B495" s="4" t="n"/>
    </row>
    <row r="496">
      <c r="A496" s="6">
        <f>IFERROR(VLOOKUP($B496,Company_Cat!$B$2:$E$623,2,FALSE),"")</f>
        <v/>
      </c>
      <c r="B496" s="4" t="n"/>
    </row>
    <row r="497">
      <c r="A497" s="6">
        <f>IFERROR(VLOOKUP($B497,Company_Cat!$B$2:$E$623,2,FALSE),"")</f>
        <v/>
      </c>
      <c r="B497" s="4" t="n"/>
    </row>
    <row r="498">
      <c r="A498" s="6">
        <f>IFERROR(VLOOKUP($B498,Company_Cat!$B$2:$E$623,2,FALSE),"")</f>
        <v/>
      </c>
      <c r="B498" s="4" t="n"/>
    </row>
    <row r="499">
      <c r="A499" s="6">
        <f>IFERROR(VLOOKUP($B499,Company_Cat!$B$2:$E$623,2,FALSE),"")</f>
        <v/>
      </c>
      <c r="B499" s="4" t="n"/>
    </row>
    <row r="500">
      <c r="A500" s="6">
        <f>IFERROR(VLOOKUP($B500,Company_Cat!$B$2:$E$623,2,FALSE),"")</f>
        <v/>
      </c>
      <c r="B500" s="4" t="n"/>
    </row>
    <row r="501">
      <c r="A501" s="6">
        <f>IFERROR(VLOOKUP($B501,Company_Cat!$B$2:$E$623,2,FALSE),"")</f>
        <v/>
      </c>
      <c r="B501" s="4" t="n"/>
    </row>
    <row r="502">
      <c r="A502" s="6">
        <f>IFERROR(VLOOKUP($B502,Company_Cat!$B$2:$E$623,2,FALSE),"")</f>
        <v/>
      </c>
      <c r="B502" s="4" t="n"/>
    </row>
    <row r="503">
      <c r="A503" s="6">
        <f>IFERROR(VLOOKUP($B503,Company_Cat!$B$2:$E$623,2,FALSE),"")</f>
        <v/>
      </c>
      <c r="B503" s="4" t="n"/>
    </row>
    <row r="504">
      <c r="A504" s="6">
        <f>IFERROR(VLOOKUP($B504,Company_Cat!$B$2:$E$623,2,FALSE),"")</f>
        <v/>
      </c>
      <c r="B504" s="4" t="n"/>
    </row>
    <row r="505">
      <c r="A505" s="6">
        <f>IFERROR(VLOOKUP($B505,Company_Cat!$B$2:$E$623,2,FALSE),"")</f>
        <v/>
      </c>
      <c r="B505" s="4" t="n"/>
    </row>
    <row r="506">
      <c r="A506" s="6">
        <f>IFERROR(VLOOKUP($B506,Company_Cat!$B$2:$E$623,2,FALSE),"")</f>
        <v/>
      </c>
      <c r="B506" s="4" t="n"/>
    </row>
    <row r="507">
      <c r="A507" s="6">
        <f>IFERROR(VLOOKUP($B507,Company_Cat!$B$2:$E$623,2,FALSE),"")</f>
        <v/>
      </c>
      <c r="B507" s="4" t="n"/>
    </row>
    <row r="508">
      <c r="A508" s="6">
        <f>IFERROR(VLOOKUP($B508,Company_Cat!$B$2:$E$623,2,FALSE),"")</f>
        <v/>
      </c>
      <c r="B508" s="4" t="n"/>
    </row>
    <row r="509">
      <c r="A509" s="6">
        <f>IFERROR(VLOOKUP($B509,Company_Cat!$B$2:$E$623,2,FALSE),"")</f>
        <v/>
      </c>
      <c r="B509" s="4" t="n"/>
    </row>
    <row r="510">
      <c r="A510" s="6">
        <f>IFERROR(VLOOKUP($B510,Company_Cat!$B$2:$E$623,2,FALSE),"")</f>
        <v/>
      </c>
      <c r="B510" s="4" t="n"/>
    </row>
    <row r="511">
      <c r="A511" s="6">
        <f>IFERROR(VLOOKUP($B511,Company_Cat!$B$2:$E$623,2,FALSE),"")</f>
        <v/>
      </c>
      <c r="B511" s="4" t="n"/>
    </row>
    <row r="512">
      <c r="A512" s="6">
        <f>IFERROR(VLOOKUP($B512,Company_Cat!$B$2:$E$623,2,FALSE),"")</f>
        <v/>
      </c>
      <c r="B512" s="4" t="n"/>
    </row>
    <row r="513">
      <c r="A513" s="6">
        <f>IFERROR(VLOOKUP($B513,Company_Cat!$B$2:$E$623,2,FALSE),"")</f>
        <v/>
      </c>
      <c r="B513" s="4" t="n"/>
    </row>
    <row r="514">
      <c r="A514" s="6">
        <f>IFERROR(VLOOKUP($B514,Company_Cat!$B$2:$E$623,2,FALSE),"")</f>
        <v/>
      </c>
      <c r="B514" s="4" t="n"/>
    </row>
    <row r="515">
      <c r="A515" s="6">
        <f>IFERROR(VLOOKUP($B515,Company_Cat!$B$2:$E$623,2,FALSE),"")</f>
        <v/>
      </c>
      <c r="B515" s="4" t="n"/>
    </row>
    <row r="516">
      <c r="A516" s="6">
        <f>IFERROR(VLOOKUP($B516,Company_Cat!$B$2:$E$623,2,FALSE),"")</f>
        <v/>
      </c>
      <c r="B516" s="4" t="n"/>
    </row>
    <row r="517">
      <c r="A517" s="6">
        <f>IFERROR(VLOOKUP($B517,Company_Cat!$B$2:$E$623,2,FALSE),"")</f>
        <v/>
      </c>
      <c r="B517" s="4" t="n"/>
    </row>
    <row r="518">
      <c r="A518" s="6">
        <f>IFERROR(VLOOKUP($B518,Company_Cat!$B$2:$E$623,2,FALSE),"")</f>
        <v/>
      </c>
      <c r="B518" s="4" t="n"/>
    </row>
    <row r="519">
      <c r="A519" s="6">
        <f>IFERROR(VLOOKUP($B519,Company_Cat!$B$2:$E$623,2,FALSE),"")</f>
        <v/>
      </c>
      <c r="B519" s="4" t="n"/>
    </row>
    <row r="520">
      <c r="A520" s="6">
        <f>IFERROR(VLOOKUP($B520,Company_Cat!$B$2:$E$623,2,FALSE),"")</f>
        <v/>
      </c>
      <c r="B520" s="4" t="n"/>
    </row>
    <row r="521">
      <c r="A521" s="6">
        <f>IFERROR(VLOOKUP($B521,Company_Cat!$B$2:$E$623,2,FALSE),"")</f>
        <v/>
      </c>
      <c r="B521" s="4" t="n"/>
    </row>
    <row r="522">
      <c r="A522" s="6">
        <f>IFERROR(VLOOKUP($B522,Company_Cat!$B$2:$E$623,2,FALSE),"")</f>
        <v/>
      </c>
      <c r="B522" s="4" t="n"/>
    </row>
    <row r="523">
      <c r="A523" s="6">
        <f>IFERROR(VLOOKUP($B523,Company_Cat!$B$2:$E$623,2,FALSE),"")</f>
        <v/>
      </c>
      <c r="B523" s="4" t="n"/>
    </row>
    <row r="524">
      <c r="A524" s="6">
        <f>IFERROR(VLOOKUP($B524,Company_Cat!$B$2:$E$623,2,FALSE),"")</f>
        <v/>
      </c>
      <c r="B524" s="4" t="n"/>
    </row>
    <row r="525">
      <c r="A525" s="6">
        <f>IFERROR(VLOOKUP($B525,Company_Cat!$B$2:$E$623,2,FALSE),"")</f>
        <v/>
      </c>
      <c r="B525" s="4" t="n"/>
    </row>
    <row r="526">
      <c r="A526" s="6">
        <f>IFERROR(VLOOKUP($B526,Company_Cat!$B$2:$E$623,2,FALSE),"")</f>
        <v/>
      </c>
      <c r="B526" s="4" t="n"/>
    </row>
    <row r="527">
      <c r="A527" s="6">
        <f>IFERROR(VLOOKUP($B527,Company_Cat!$B$2:$E$623,2,FALSE),"")</f>
        <v/>
      </c>
      <c r="B527" s="4" t="n"/>
    </row>
    <row r="528">
      <c r="A528" s="6">
        <f>IFERROR(VLOOKUP($B528,Company_Cat!$B$2:$E$623,2,FALSE),"")</f>
        <v/>
      </c>
      <c r="B528" s="4" t="n"/>
    </row>
    <row r="529">
      <c r="A529" s="6">
        <f>IFERROR(VLOOKUP($B529,Company_Cat!$B$2:$E$623,2,FALSE),"")</f>
        <v/>
      </c>
      <c r="B529" s="4" t="n"/>
    </row>
    <row r="530">
      <c r="A530" s="6">
        <f>IFERROR(VLOOKUP($B530,Company_Cat!$B$2:$E$623,2,FALSE),"")</f>
        <v/>
      </c>
      <c r="B530" s="4" t="n"/>
    </row>
    <row r="531">
      <c r="A531" s="6">
        <f>IFERROR(VLOOKUP($B531,Company_Cat!$B$2:$E$623,2,FALSE),"")</f>
        <v/>
      </c>
      <c r="B531" s="4" t="n"/>
    </row>
    <row r="532">
      <c r="A532" s="6">
        <f>IFERROR(VLOOKUP($B532,Company_Cat!$B$2:$E$623,2,FALSE),"")</f>
        <v/>
      </c>
      <c r="B532" s="4" t="n"/>
    </row>
    <row r="533">
      <c r="A533" s="6">
        <f>IFERROR(VLOOKUP($B533,Company_Cat!$B$2:$E$623,2,FALSE),"")</f>
        <v/>
      </c>
      <c r="B533" s="4" t="n"/>
    </row>
    <row r="534">
      <c r="A534" s="6">
        <f>IFERROR(VLOOKUP($B534,Company_Cat!$B$2:$E$623,2,FALSE),"")</f>
        <v/>
      </c>
      <c r="B534" s="4" t="n"/>
    </row>
    <row r="535">
      <c r="A535" s="6">
        <f>IFERROR(VLOOKUP($B535,Company_Cat!$B$2:$E$623,2,FALSE),"")</f>
        <v/>
      </c>
      <c r="B535" s="4" t="n"/>
    </row>
    <row r="536">
      <c r="A536" s="6">
        <f>IFERROR(VLOOKUP($B536,Company_Cat!$B$2:$E$623,2,FALSE),"")</f>
        <v/>
      </c>
      <c r="B536" s="4" t="n"/>
    </row>
    <row r="537">
      <c r="A537" s="6">
        <f>IFERROR(VLOOKUP($B537,Company_Cat!$B$2:$E$623,2,FALSE),"")</f>
        <v/>
      </c>
      <c r="B537" s="4" t="n"/>
    </row>
    <row r="538">
      <c r="A538" s="6">
        <f>IFERROR(VLOOKUP($B538,Company_Cat!$B$2:$E$623,2,FALSE),"")</f>
        <v/>
      </c>
      <c r="B538" s="4" t="n"/>
    </row>
    <row r="539">
      <c r="A539" s="6">
        <f>IFERROR(VLOOKUP($B539,Company_Cat!$B$2:$E$623,2,FALSE),"")</f>
        <v/>
      </c>
      <c r="B539" s="4" t="n"/>
    </row>
    <row r="540">
      <c r="A540" s="6">
        <f>IFERROR(VLOOKUP($B540,Company_Cat!$B$2:$E$623,2,FALSE),"")</f>
        <v/>
      </c>
      <c r="B540" s="4" t="n"/>
    </row>
    <row r="541">
      <c r="A541" s="6">
        <f>IFERROR(VLOOKUP($B541,Company_Cat!$B$2:$E$623,2,FALSE),"")</f>
        <v/>
      </c>
      <c r="B541" s="4" t="n"/>
    </row>
    <row r="542">
      <c r="A542" s="6">
        <f>IFERROR(VLOOKUP($B542,Company_Cat!$B$2:$E$623,2,FALSE),"")</f>
        <v/>
      </c>
      <c r="B542" s="4" t="n"/>
    </row>
    <row r="543">
      <c r="A543" s="6">
        <f>IFERROR(VLOOKUP($B543,Company_Cat!$B$2:$E$623,2,FALSE),"")</f>
        <v/>
      </c>
      <c r="B543" s="4" t="n"/>
    </row>
    <row r="544">
      <c r="A544" s="6">
        <f>IFERROR(VLOOKUP($B544,Company_Cat!$B$2:$E$623,2,FALSE),"")</f>
        <v/>
      </c>
      <c r="B544" s="4" t="n"/>
    </row>
    <row r="545">
      <c r="A545" s="6">
        <f>IFERROR(VLOOKUP($B545,Company_Cat!$B$2:$E$623,2,FALSE),"")</f>
        <v/>
      </c>
      <c r="B545" s="4" t="n"/>
    </row>
    <row r="546">
      <c r="A546" s="6">
        <f>IFERROR(VLOOKUP($B546,Company_Cat!$B$2:$E$623,2,FALSE),"")</f>
        <v/>
      </c>
      <c r="B546" s="4" t="n"/>
    </row>
    <row r="547">
      <c r="A547" s="6">
        <f>IFERROR(VLOOKUP($B547,Company_Cat!$B$2:$E$623,2,FALSE),"")</f>
        <v/>
      </c>
      <c r="B547" s="4" t="n"/>
    </row>
    <row r="548">
      <c r="A548" s="6">
        <f>IFERROR(VLOOKUP($B548,Company_Cat!$B$2:$E$623,2,FALSE),"")</f>
        <v/>
      </c>
      <c r="B548" s="4" t="n"/>
    </row>
    <row r="549">
      <c r="A549" s="6">
        <f>IFERROR(VLOOKUP($B549,Company_Cat!$B$2:$E$623,2,FALSE),"")</f>
        <v/>
      </c>
      <c r="B549" s="4" t="n"/>
    </row>
    <row r="550">
      <c r="A550" s="6">
        <f>IFERROR(VLOOKUP($B550,Company_Cat!$B$2:$E$623,2,FALSE),"")</f>
        <v/>
      </c>
      <c r="B550" s="4" t="n"/>
    </row>
    <row r="551">
      <c r="A551" s="6">
        <f>IFERROR(VLOOKUP($B551,Company_Cat!$B$2:$E$623,2,FALSE),"")</f>
        <v/>
      </c>
      <c r="B551" s="4" t="n"/>
    </row>
    <row r="552">
      <c r="A552" s="6">
        <f>IFERROR(VLOOKUP($B552,Company_Cat!$B$2:$E$623,2,FALSE),"")</f>
        <v/>
      </c>
      <c r="B552" s="4" t="n"/>
    </row>
    <row r="553">
      <c r="A553" s="6">
        <f>IFERROR(VLOOKUP($B553,Company_Cat!$B$2:$E$623,2,FALSE),"")</f>
        <v/>
      </c>
      <c r="B553" s="4" t="n"/>
    </row>
    <row r="554">
      <c r="A554" s="6">
        <f>IFERROR(VLOOKUP($B554,Company_Cat!$B$2:$E$623,2,FALSE),"")</f>
        <v/>
      </c>
      <c r="B554" s="4" t="n"/>
    </row>
    <row r="555">
      <c r="A555" s="6">
        <f>IFERROR(VLOOKUP($B555,Company_Cat!$B$2:$E$623,2,FALSE),"")</f>
        <v/>
      </c>
      <c r="B555" s="4" t="n"/>
    </row>
    <row r="556">
      <c r="A556" s="6">
        <f>IFERROR(VLOOKUP($B556,Company_Cat!$B$2:$E$623,2,FALSE),"")</f>
        <v/>
      </c>
      <c r="B556" s="4" t="n"/>
    </row>
    <row r="557">
      <c r="A557" s="6">
        <f>IFERROR(VLOOKUP($B557,Company_Cat!$B$2:$E$623,2,FALSE),"")</f>
        <v/>
      </c>
      <c r="B557" s="4" t="n"/>
    </row>
    <row r="558">
      <c r="A558" s="6">
        <f>IFERROR(VLOOKUP($B558,Company_Cat!$B$2:$E$623,2,FALSE),"")</f>
        <v/>
      </c>
      <c r="B558" s="4" t="n"/>
    </row>
    <row r="559">
      <c r="A559" s="6">
        <f>IFERROR(VLOOKUP($B559,Company_Cat!$B$2:$E$623,2,FALSE),"")</f>
        <v/>
      </c>
      <c r="B559" s="4" t="n"/>
    </row>
    <row r="560">
      <c r="A560" s="6">
        <f>IFERROR(VLOOKUP($B560,Company_Cat!$B$2:$E$623,2,FALSE),"")</f>
        <v/>
      </c>
      <c r="B560" s="4" t="n"/>
    </row>
    <row r="561">
      <c r="A561" s="6">
        <f>IFERROR(VLOOKUP($B561,Company_Cat!$B$2:$E$623,2,FALSE),"")</f>
        <v/>
      </c>
      <c r="B561" s="4" t="n"/>
    </row>
    <row r="562">
      <c r="A562" s="6">
        <f>IFERROR(VLOOKUP($B562,Company_Cat!$B$2:$E$623,2,FALSE),"")</f>
        <v/>
      </c>
      <c r="B562" s="4" t="n"/>
    </row>
    <row r="563">
      <c r="A563" s="6">
        <f>IFERROR(VLOOKUP($B563,Company_Cat!$B$2:$E$623,2,FALSE),"")</f>
        <v/>
      </c>
      <c r="B563" s="4" t="n"/>
    </row>
    <row r="564">
      <c r="A564" s="6">
        <f>IFERROR(VLOOKUP($B564,Company_Cat!$B$2:$E$623,2,FALSE),"")</f>
        <v/>
      </c>
      <c r="B564" s="4" t="n"/>
    </row>
    <row r="565">
      <c r="A565" s="6">
        <f>IFERROR(VLOOKUP($B565,Company_Cat!$B$2:$E$623,2,FALSE),"")</f>
        <v/>
      </c>
      <c r="B565" s="4" t="n"/>
    </row>
    <row r="566">
      <c r="A566" s="6">
        <f>IFERROR(VLOOKUP($B566,Company_Cat!$B$2:$E$623,2,FALSE),"")</f>
        <v/>
      </c>
      <c r="B566" s="4" t="n"/>
    </row>
    <row r="567">
      <c r="A567" s="6">
        <f>IFERROR(VLOOKUP($B567,Company_Cat!$B$2:$E$623,2,FALSE),"")</f>
        <v/>
      </c>
      <c r="B567" s="4" t="n"/>
    </row>
    <row r="568">
      <c r="A568" s="6">
        <f>IFERROR(VLOOKUP($B568,Company_Cat!$B$2:$E$623,2,FALSE),"")</f>
        <v/>
      </c>
      <c r="B568" s="4" t="n"/>
    </row>
    <row r="569">
      <c r="A569" s="6">
        <f>IFERROR(VLOOKUP($B569,Company_Cat!$B$2:$E$623,2,FALSE),"")</f>
        <v/>
      </c>
      <c r="B569" s="4" t="n"/>
    </row>
    <row r="570">
      <c r="A570" s="6">
        <f>IFERROR(VLOOKUP($B570,Company_Cat!$B$2:$E$623,2,FALSE),"")</f>
        <v/>
      </c>
      <c r="B570" s="4" t="n"/>
    </row>
    <row r="571">
      <c r="A571" s="6">
        <f>IFERROR(VLOOKUP($B571,Company_Cat!$B$2:$E$623,2,FALSE),"")</f>
        <v/>
      </c>
      <c r="B571" s="4" t="n"/>
    </row>
    <row r="572">
      <c r="A572" s="6">
        <f>IFERROR(VLOOKUP($B572,Company_Cat!$B$2:$E$623,2,FALSE),"")</f>
        <v/>
      </c>
      <c r="B572" s="4" t="n"/>
    </row>
    <row r="573">
      <c r="A573" s="6">
        <f>IFERROR(VLOOKUP($B573,Company_Cat!$B$2:$E$623,2,FALSE),"")</f>
        <v/>
      </c>
      <c r="B573" s="4" t="n"/>
    </row>
    <row r="574">
      <c r="A574" s="6">
        <f>IFERROR(VLOOKUP($B574,Company_Cat!$B$2:$E$623,2,FALSE),"")</f>
        <v/>
      </c>
      <c r="B574" s="4" t="n"/>
    </row>
    <row r="575">
      <c r="A575" s="6">
        <f>IFERROR(VLOOKUP($B575,Company_Cat!$B$2:$E$623,2,FALSE),"")</f>
        <v/>
      </c>
      <c r="B575" s="4" t="n"/>
    </row>
    <row r="576">
      <c r="A576" s="6">
        <f>IFERROR(VLOOKUP($B576,Company_Cat!$B$2:$E$623,2,FALSE),"")</f>
        <v/>
      </c>
      <c r="B576" s="4" t="n"/>
    </row>
    <row r="577">
      <c r="A577" s="6">
        <f>IFERROR(VLOOKUP($B577,Company_Cat!$B$2:$E$623,2,FALSE),"")</f>
        <v/>
      </c>
      <c r="B577" s="4" t="n"/>
    </row>
    <row r="578">
      <c r="A578" s="6">
        <f>IFERROR(VLOOKUP($B578,Company_Cat!$B$2:$E$623,2,FALSE),"")</f>
        <v/>
      </c>
      <c r="B578" s="4" t="n"/>
    </row>
    <row r="579">
      <c r="A579" s="6">
        <f>IFERROR(VLOOKUP($B579,Company_Cat!$B$2:$E$623,2,FALSE),"")</f>
        <v/>
      </c>
      <c r="B579" s="4" t="n"/>
    </row>
    <row r="580">
      <c r="A580" s="6">
        <f>IFERROR(VLOOKUP($B580,Company_Cat!$B$2:$E$623,2,FALSE),"")</f>
        <v/>
      </c>
      <c r="B580" s="4" t="n"/>
    </row>
    <row r="581">
      <c r="A581" s="6">
        <f>IFERROR(VLOOKUP($B581,Company_Cat!$B$2:$E$623,2,FALSE),"")</f>
        <v/>
      </c>
      <c r="B581" s="4" t="n"/>
    </row>
    <row r="582">
      <c r="A582" s="6">
        <f>IFERROR(VLOOKUP($B582,Company_Cat!$B$2:$E$623,2,FALSE),"")</f>
        <v/>
      </c>
      <c r="B582" s="4" t="n"/>
    </row>
    <row r="583">
      <c r="A583" s="6">
        <f>IFERROR(VLOOKUP($B583,Company_Cat!$B$2:$E$623,2,FALSE),"")</f>
        <v/>
      </c>
      <c r="B583" s="4" t="n"/>
    </row>
    <row r="584">
      <c r="A584" s="6">
        <f>IFERROR(VLOOKUP($B584,Company_Cat!$B$2:$E$623,2,FALSE),"")</f>
        <v/>
      </c>
      <c r="B584" s="4" t="n"/>
    </row>
    <row r="585">
      <c r="A585" s="6">
        <f>IFERROR(VLOOKUP($B585,Company_Cat!$B$2:$E$623,2,FALSE),"")</f>
        <v/>
      </c>
      <c r="B585" s="4" t="n"/>
    </row>
    <row r="586">
      <c r="A586" s="6">
        <f>IFERROR(VLOOKUP($B586,Company_Cat!$B$2:$E$623,2,FALSE),"")</f>
        <v/>
      </c>
      <c r="B586" s="4" t="n"/>
    </row>
    <row r="587">
      <c r="A587" s="6">
        <f>IFERROR(VLOOKUP($B587,Company_Cat!$B$2:$E$623,2,FALSE),"")</f>
        <v/>
      </c>
      <c r="B587" s="4" t="n"/>
    </row>
    <row r="588">
      <c r="A588" s="6">
        <f>IFERROR(VLOOKUP($B588,Company_Cat!$B$2:$E$623,2,FALSE),"")</f>
        <v/>
      </c>
      <c r="B588" s="4" t="n"/>
    </row>
    <row r="589">
      <c r="A589" s="6">
        <f>IFERROR(VLOOKUP($B589,Company_Cat!$B$2:$E$623,2,FALSE),"")</f>
        <v/>
      </c>
      <c r="B589" s="4" t="n"/>
    </row>
    <row r="590">
      <c r="A590" s="6">
        <f>IFERROR(VLOOKUP($B590,Company_Cat!$B$2:$E$623,2,FALSE),"")</f>
        <v/>
      </c>
      <c r="B590" s="4" t="n"/>
    </row>
    <row r="591">
      <c r="A591" s="6">
        <f>IFERROR(VLOOKUP($B591,Company_Cat!$B$2:$E$623,2,FALSE),"")</f>
        <v/>
      </c>
      <c r="B591" s="4" t="n"/>
    </row>
    <row r="592">
      <c r="A592" s="6">
        <f>IFERROR(VLOOKUP($B592,Company_Cat!$B$2:$E$623,2,FALSE),"")</f>
        <v/>
      </c>
      <c r="B592" s="4" t="n"/>
    </row>
    <row r="593">
      <c r="A593" s="6">
        <f>IFERROR(VLOOKUP($B593,Company_Cat!$B$2:$E$623,2,FALSE),"")</f>
        <v/>
      </c>
      <c r="B593" s="4" t="n"/>
    </row>
    <row r="594">
      <c r="A594" s="6">
        <f>IFERROR(VLOOKUP($B594,Company_Cat!$B$2:$E$623,2,FALSE),"")</f>
        <v/>
      </c>
      <c r="B594" s="4" t="n"/>
    </row>
    <row r="595">
      <c r="A595" s="6">
        <f>IFERROR(VLOOKUP($B595,Company_Cat!$B$2:$E$623,2,FALSE),"")</f>
        <v/>
      </c>
      <c r="B595" s="4" t="n"/>
    </row>
    <row r="596">
      <c r="A596" s="6">
        <f>IFERROR(VLOOKUP($B596,Company_Cat!$B$2:$E$623,2,FALSE),"")</f>
        <v/>
      </c>
      <c r="B596" s="4" t="n"/>
    </row>
    <row r="597">
      <c r="A597" s="6">
        <f>IFERROR(VLOOKUP($B597,Company_Cat!$B$2:$E$623,2,FALSE),"")</f>
        <v/>
      </c>
      <c r="B597" s="4" t="n"/>
    </row>
    <row r="598">
      <c r="A598" s="6">
        <f>IFERROR(VLOOKUP($B598,Company_Cat!$B$2:$E$623,2,FALSE),"")</f>
        <v/>
      </c>
      <c r="B598" s="4" t="n"/>
    </row>
    <row r="599">
      <c r="A599" s="6">
        <f>IFERROR(VLOOKUP($B599,Company_Cat!$B$2:$E$623,2,FALSE),"")</f>
        <v/>
      </c>
      <c r="B599" s="4" t="n"/>
    </row>
    <row r="600">
      <c r="A600" s="6">
        <f>IFERROR(VLOOKUP($B600,Company_Cat!$B$2:$E$623,2,FALSE),"")</f>
        <v/>
      </c>
      <c r="B600" s="4" t="n"/>
    </row>
    <row r="601">
      <c r="A601" s="6">
        <f>IFERROR(VLOOKUP($B601,Company_Cat!$B$2:$E$623,2,FALSE),"")</f>
        <v/>
      </c>
      <c r="B601" s="4" t="n"/>
    </row>
    <row r="602">
      <c r="A602" s="6">
        <f>IFERROR(VLOOKUP($B602,Company_Cat!$B$2:$E$623,2,FALSE),"")</f>
        <v/>
      </c>
      <c r="B602" s="4" t="n"/>
    </row>
    <row r="603">
      <c r="A603" s="6">
        <f>IFERROR(VLOOKUP($B603,Company_Cat!$B$2:$E$623,2,FALSE),"")</f>
        <v/>
      </c>
      <c r="B603" s="4" t="n"/>
    </row>
    <row r="604">
      <c r="A604" s="6">
        <f>IFERROR(VLOOKUP($B604,Company_Cat!$B$2:$E$623,2,FALSE),"")</f>
        <v/>
      </c>
      <c r="B604" s="4" t="n"/>
    </row>
    <row r="605">
      <c r="A605" s="6">
        <f>IFERROR(VLOOKUP($B605,Company_Cat!$B$2:$E$623,2,FALSE),"")</f>
        <v/>
      </c>
      <c r="B605" s="4" t="n"/>
    </row>
    <row r="606">
      <c r="A606" s="6">
        <f>IFERROR(VLOOKUP($B606,Company_Cat!$B$2:$E$623,2,FALSE),"")</f>
        <v/>
      </c>
      <c r="B606" s="4" t="n"/>
    </row>
    <row r="607">
      <c r="A607" s="6">
        <f>IFERROR(VLOOKUP($B607,Company_Cat!$B$2:$E$623,2,FALSE),"")</f>
        <v/>
      </c>
      <c r="B607" s="4" t="n"/>
    </row>
    <row r="608">
      <c r="A608" s="6">
        <f>IFERROR(VLOOKUP($B608,Company_Cat!$B$2:$E$623,2,FALSE),"")</f>
        <v/>
      </c>
      <c r="B608" s="4" t="n"/>
    </row>
    <row r="609">
      <c r="A609" s="6">
        <f>IFERROR(VLOOKUP($B609,Company_Cat!$B$2:$E$623,2,FALSE),"")</f>
        <v/>
      </c>
      <c r="B609" s="4" t="n"/>
    </row>
    <row r="610">
      <c r="A610" s="6">
        <f>IFERROR(VLOOKUP($B610,Company_Cat!$B$2:$E$623,2,FALSE),"")</f>
        <v/>
      </c>
      <c r="B610" s="4" t="n"/>
    </row>
    <row r="611">
      <c r="A611" s="6">
        <f>IFERROR(VLOOKUP($B611,Company_Cat!$B$2:$E$623,2,FALSE),"")</f>
        <v/>
      </c>
      <c r="B611" s="4" t="n"/>
    </row>
    <row r="612">
      <c r="A612" s="6">
        <f>IFERROR(VLOOKUP($B612,Company_Cat!$B$2:$E$623,2,FALSE),"")</f>
        <v/>
      </c>
      <c r="B612" s="4" t="n"/>
    </row>
    <row r="613">
      <c r="A613" s="6">
        <f>IFERROR(VLOOKUP($B613,Company_Cat!$B$2:$E$623,2,FALSE),"")</f>
        <v/>
      </c>
      <c r="B613" s="4" t="n"/>
    </row>
    <row r="614">
      <c r="A614" s="6">
        <f>IFERROR(VLOOKUP($B614,Company_Cat!$B$2:$E$623,2,FALSE),"")</f>
        <v/>
      </c>
      <c r="B614" s="4" t="n"/>
    </row>
    <row r="615">
      <c r="A615" s="6">
        <f>IFERROR(VLOOKUP($B615,Company_Cat!$B$2:$E$623,2,FALSE),"")</f>
        <v/>
      </c>
      <c r="B615" s="4" t="n"/>
    </row>
    <row r="616">
      <c r="A616" s="6">
        <f>IFERROR(VLOOKUP($B616,Company_Cat!$B$2:$E$623,2,FALSE),"")</f>
        <v/>
      </c>
      <c r="B616" s="4" t="n"/>
    </row>
    <row r="617">
      <c r="A617" s="6">
        <f>IFERROR(VLOOKUP($B617,Company_Cat!$B$2:$E$623,2,FALSE),"")</f>
        <v/>
      </c>
      <c r="B617" s="4" t="n"/>
    </row>
    <row r="618">
      <c r="A618" s="6">
        <f>IFERROR(VLOOKUP($B618,Company_Cat!$B$2:$E$623,2,FALSE),"")</f>
        <v/>
      </c>
      <c r="B618" s="4" t="n"/>
    </row>
    <row r="619">
      <c r="A619" s="6">
        <f>IFERROR(VLOOKUP($B619,Company_Cat!$B$2:$E$623,2,FALSE),"")</f>
        <v/>
      </c>
      <c r="B619" s="4" t="n"/>
    </row>
    <row r="620">
      <c r="A620" s="6">
        <f>IFERROR(VLOOKUP($B620,Company_Cat!$B$2:$E$623,2,FALSE),"")</f>
        <v/>
      </c>
      <c r="B620" s="4" t="n"/>
    </row>
    <row r="621">
      <c r="A621" s="6">
        <f>IFERROR(VLOOKUP($B621,Company_Cat!$B$2:$E$623,2,FALSE),"")</f>
        <v/>
      </c>
      <c r="B621" s="4" t="n"/>
    </row>
    <row r="622">
      <c r="A622" s="6">
        <f>IFERROR(VLOOKUP($B622,Company_Cat!$B$2:$E$623,2,FALSE),"")</f>
        <v/>
      </c>
      <c r="B622" s="4" t="n"/>
    </row>
    <row r="623">
      <c r="A623" s="6">
        <f>IFERROR(VLOOKUP($B623,Company_Cat!$B$2:$E$623,2,FALSE),"")</f>
        <v/>
      </c>
      <c r="B623" s="4" t="n"/>
    </row>
    <row r="624">
      <c r="A624" s="6">
        <f>IFERROR(VLOOKUP($B624,Company_Cat!$B$2:$E$623,2,FALSE),"")</f>
        <v/>
      </c>
      <c r="B624" s="4" t="n"/>
    </row>
    <row r="625">
      <c r="A625" s="6">
        <f>IFERROR(VLOOKUP($B625,Company_Cat!$B$2:$E$623,2,FALSE),"")</f>
        <v/>
      </c>
      <c r="B625" s="4" t="n"/>
    </row>
    <row r="626">
      <c r="A626" s="6">
        <f>IFERROR(VLOOKUP($B626,Company_Cat!$B$2:$E$623,2,FALSE),"")</f>
        <v/>
      </c>
      <c r="B626" s="4" t="n"/>
    </row>
    <row r="627">
      <c r="A627" s="6">
        <f>IFERROR(VLOOKUP($B627,Company_Cat!$B$2:$E$623,2,FALSE),"")</f>
        <v/>
      </c>
      <c r="B627" s="4" t="n"/>
    </row>
    <row r="628">
      <c r="A628" s="6">
        <f>IFERROR(VLOOKUP($B628,Company_Cat!$B$2:$E$623,2,FALSE),"")</f>
        <v/>
      </c>
      <c r="B628" s="4" t="n"/>
    </row>
    <row r="629">
      <c r="A629" s="6">
        <f>IFERROR(VLOOKUP($B629,Company_Cat!$B$2:$E$623,2,FALSE),"")</f>
        <v/>
      </c>
      <c r="B629" s="4" t="n"/>
    </row>
    <row r="630">
      <c r="A630" s="6">
        <f>IFERROR(VLOOKUP($B630,Company_Cat!$B$2:$E$623,2,FALSE),"")</f>
        <v/>
      </c>
      <c r="B630" s="4" t="n"/>
    </row>
    <row r="631">
      <c r="A631" s="6">
        <f>IFERROR(VLOOKUP($B631,Company_Cat!$B$2:$E$623,2,FALSE),"")</f>
        <v/>
      </c>
      <c r="B631" s="4" t="n"/>
    </row>
    <row r="632">
      <c r="A632" s="6">
        <f>IFERROR(VLOOKUP($B632,Company_Cat!$B$2:$E$623,2,FALSE),"")</f>
        <v/>
      </c>
      <c r="B632" s="4" t="n"/>
    </row>
    <row r="633">
      <c r="A633" s="6">
        <f>IFERROR(VLOOKUP($B633,Company_Cat!$B$2:$E$623,2,FALSE),"")</f>
        <v/>
      </c>
      <c r="B633" s="4" t="n"/>
    </row>
    <row r="634">
      <c r="A634" s="6">
        <f>IFERROR(VLOOKUP($B634,Company_Cat!$B$2:$E$623,2,FALSE),"")</f>
        <v/>
      </c>
      <c r="B634" s="4" t="n"/>
    </row>
    <row r="635">
      <c r="A635" s="6">
        <f>IFERROR(VLOOKUP($B635,Company_Cat!$B$2:$E$623,2,FALSE),"")</f>
        <v/>
      </c>
      <c r="B635" s="4" t="n"/>
    </row>
    <row r="636">
      <c r="A636" s="6">
        <f>IFERROR(VLOOKUP($B636,Company_Cat!$B$2:$E$623,2,FALSE),"")</f>
        <v/>
      </c>
      <c r="B636" s="4" t="n"/>
    </row>
    <row r="637">
      <c r="A637" s="6">
        <f>IFERROR(VLOOKUP($B637,Company_Cat!$B$2:$E$623,2,FALSE),"")</f>
        <v/>
      </c>
      <c r="B637" s="4" t="n"/>
    </row>
    <row r="638">
      <c r="A638" s="6">
        <f>IFERROR(VLOOKUP($B638,Company_Cat!$B$2:$E$623,2,FALSE),"")</f>
        <v/>
      </c>
      <c r="B638" s="4" t="n"/>
    </row>
    <row r="639">
      <c r="A639" s="6">
        <f>IFERROR(VLOOKUP($B639,Company_Cat!$B$2:$E$623,2,FALSE),"")</f>
        <v/>
      </c>
      <c r="B639" s="4" t="n"/>
    </row>
    <row r="640">
      <c r="A640" s="6">
        <f>IFERROR(VLOOKUP($B640,Company_Cat!$B$2:$E$623,2,FALSE),"")</f>
        <v/>
      </c>
      <c r="B640" s="4" t="n"/>
    </row>
    <row r="641">
      <c r="A641" s="6">
        <f>IFERROR(VLOOKUP($B641,Company_Cat!$B$2:$E$623,2,FALSE),"")</f>
        <v/>
      </c>
      <c r="B641" s="4" t="n"/>
    </row>
    <row r="642">
      <c r="A642" s="6">
        <f>IFERROR(VLOOKUP($B642,Company_Cat!$B$2:$E$623,2,FALSE),"")</f>
        <v/>
      </c>
      <c r="B642" s="4" t="n"/>
    </row>
    <row r="643">
      <c r="A643" s="6">
        <f>IFERROR(VLOOKUP($B643,Company_Cat!$B$2:$E$623,2,FALSE),"")</f>
        <v/>
      </c>
      <c r="B643" s="4" t="n"/>
    </row>
    <row r="644">
      <c r="A644" s="6">
        <f>IFERROR(VLOOKUP($B644,Company_Cat!$B$2:$E$623,2,FALSE),"")</f>
        <v/>
      </c>
      <c r="B644" s="4" t="n"/>
    </row>
    <row r="645">
      <c r="A645" s="6">
        <f>IFERROR(VLOOKUP($B645,Company_Cat!$B$2:$E$623,2,FALSE),"")</f>
        <v/>
      </c>
      <c r="B645" s="4" t="n"/>
    </row>
    <row r="646">
      <c r="A646" s="6">
        <f>IFERROR(VLOOKUP($B646,Company_Cat!$B$2:$E$623,2,FALSE),"")</f>
        <v/>
      </c>
      <c r="B646" s="4" t="n"/>
    </row>
    <row r="647">
      <c r="A647" s="6">
        <f>IFERROR(VLOOKUP($B647,Company_Cat!$B$2:$E$623,2,FALSE),"")</f>
        <v/>
      </c>
      <c r="B647" s="4" t="n"/>
    </row>
    <row r="648">
      <c r="A648" s="6">
        <f>IFERROR(VLOOKUP($B648,Company_Cat!$B$2:$E$623,2,FALSE),"")</f>
        <v/>
      </c>
      <c r="B648" s="4" t="n"/>
    </row>
    <row r="649">
      <c r="A649" s="6">
        <f>IFERROR(VLOOKUP($B649,Company_Cat!$B$2:$E$623,2,FALSE),"")</f>
        <v/>
      </c>
      <c r="B649" s="4" t="n"/>
    </row>
    <row r="650">
      <c r="A650" s="6">
        <f>IFERROR(VLOOKUP($B650,Company_Cat!$B$2:$E$623,2,FALSE),"")</f>
        <v/>
      </c>
      <c r="B650" s="4" t="n"/>
    </row>
    <row r="651">
      <c r="A651" s="6">
        <f>IFERROR(VLOOKUP($B651,Company_Cat!$B$2:$E$623,2,FALSE),"")</f>
        <v/>
      </c>
      <c r="B651" s="4" t="n"/>
    </row>
    <row r="652">
      <c r="A652" s="6">
        <f>IFERROR(VLOOKUP($B652,Company_Cat!$B$2:$E$623,2,FALSE),"")</f>
        <v/>
      </c>
      <c r="B652" s="4" t="n"/>
    </row>
    <row r="653">
      <c r="A653" s="6">
        <f>IFERROR(VLOOKUP($B653,Company_Cat!$B$2:$E$623,2,FALSE),"")</f>
        <v/>
      </c>
      <c r="B653" s="4" t="n"/>
    </row>
    <row r="654">
      <c r="A654" s="6">
        <f>IFERROR(VLOOKUP($B654,Company_Cat!$B$2:$E$623,2,FALSE),"")</f>
        <v/>
      </c>
      <c r="B654" s="4" t="n"/>
    </row>
    <row r="655">
      <c r="A655" s="6">
        <f>IFERROR(VLOOKUP($B655,Company_Cat!$B$2:$E$623,2,FALSE),"")</f>
        <v/>
      </c>
      <c r="B655" s="4" t="n"/>
    </row>
    <row r="656">
      <c r="A656" s="6">
        <f>IFERROR(VLOOKUP($B656,Company_Cat!$B$2:$E$623,2,FALSE),"")</f>
        <v/>
      </c>
      <c r="B656" s="4" t="n"/>
    </row>
    <row r="657">
      <c r="A657" s="6">
        <f>IFERROR(VLOOKUP($B657,Company_Cat!$B$2:$E$623,2,FALSE),"")</f>
        <v/>
      </c>
      <c r="B657" s="4" t="n"/>
    </row>
    <row r="658">
      <c r="A658" s="6">
        <f>IFERROR(VLOOKUP($B658,Company_Cat!$B$2:$E$623,2,FALSE),"")</f>
        <v/>
      </c>
      <c r="B658" s="4" t="n"/>
    </row>
    <row r="659">
      <c r="A659" s="6">
        <f>IFERROR(VLOOKUP($B659,Company_Cat!$B$2:$E$623,2,FALSE),"")</f>
        <v/>
      </c>
      <c r="B659" s="4" t="n"/>
    </row>
    <row r="660">
      <c r="A660" s="6">
        <f>IFERROR(VLOOKUP($B660,Company_Cat!$B$2:$E$623,2,FALSE),"")</f>
        <v/>
      </c>
      <c r="B660" s="4" t="n"/>
    </row>
    <row r="661">
      <c r="A661" s="6">
        <f>IFERROR(VLOOKUP($B661,Company_Cat!$B$2:$E$623,2,FALSE),"")</f>
        <v/>
      </c>
      <c r="B661" s="4" t="n"/>
    </row>
    <row r="662">
      <c r="A662" s="6">
        <f>IFERROR(VLOOKUP($B662,Company_Cat!$B$2:$E$623,2,FALSE),"")</f>
        <v/>
      </c>
      <c r="B662" s="4" t="n"/>
    </row>
    <row r="663">
      <c r="A663" s="6">
        <f>IFERROR(VLOOKUP($B663,Company_Cat!$B$2:$E$623,2,FALSE),"")</f>
        <v/>
      </c>
      <c r="B663" s="4" t="n"/>
    </row>
    <row r="664">
      <c r="A664" s="6">
        <f>IFERROR(VLOOKUP($B664,Company_Cat!$B$2:$E$623,2,FALSE),"")</f>
        <v/>
      </c>
      <c r="B664" s="4" t="n"/>
    </row>
    <row r="665">
      <c r="A665" s="6">
        <f>IFERROR(VLOOKUP($B665,Company_Cat!$B$2:$E$623,2,FALSE),"")</f>
        <v/>
      </c>
      <c r="B665" s="4" t="n"/>
    </row>
    <row r="666">
      <c r="A666" s="6">
        <f>IFERROR(VLOOKUP($B666,Company_Cat!$B$2:$E$623,2,FALSE),"")</f>
        <v/>
      </c>
      <c r="B666" s="4" t="n"/>
    </row>
    <row r="667">
      <c r="A667" s="6">
        <f>IFERROR(VLOOKUP($B667,Company_Cat!$B$2:$E$623,2,FALSE),"")</f>
        <v/>
      </c>
      <c r="B667" s="4" t="n"/>
    </row>
    <row r="668">
      <c r="A668" s="6">
        <f>IFERROR(VLOOKUP($B668,Company_Cat!$B$2:$E$623,2,FALSE),"")</f>
        <v/>
      </c>
      <c r="B668" s="4" t="n"/>
    </row>
    <row r="669">
      <c r="A669" s="6">
        <f>IFERROR(VLOOKUP($B669,Company_Cat!$B$2:$E$623,2,FALSE),"")</f>
        <v/>
      </c>
      <c r="B669" s="4" t="n"/>
    </row>
    <row r="670">
      <c r="A670" s="6">
        <f>IFERROR(VLOOKUP($B670,Company_Cat!$B$2:$E$623,2,FALSE),"")</f>
        <v/>
      </c>
      <c r="B670" s="4" t="n"/>
    </row>
    <row r="671">
      <c r="A671" s="6">
        <f>IFERROR(VLOOKUP($B671,Company_Cat!$B$2:$E$623,2,FALSE),"")</f>
        <v/>
      </c>
      <c r="B671" s="4" t="n"/>
    </row>
    <row r="672">
      <c r="A672" s="6">
        <f>IFERROR(VLOOKUP($B672,Company_Cat!$B$2:$E$623,2,FALSE),"")</f>
        <v/>
      </c>
      <c r="B672" s="4" t="n"/>
    </row>
    <row r="673">
      <c r="A673" s="6">
        <f>IFERROR(VLOOKUP($B673,Company_Cat!$B$2:$E$623,2,FALSE),"")</f>
        <v/>
      </c>
      <c r="B673" s="4" t="n"/>
    </row>
    <row r="674">
      <c r="A674" s="6">
        <f>IFERROR(VLOOKUP($B674,Company_Cat!$B$2:$E$623,2,FALSE),"")</f>
        <v/>
      </c>
      <c r="B674" s="4" t="n"/>
    </row>
    <row r="675">
      <c r="A675" s="6">
        <f>IFERROR(VLOOKUP($B675,Company_Cat!$B$2:$E$623,2,FALSE),"")</f>
        <v/>
      </c>
      <c r="B675" s="4" t="n"/>
    </row>
    <row r="676">
      <c r="A676" s="6">
        <f>IFERROR(VLOOKUP($B676,Company_Cat!$B$2:$E$623,2,FALSE),"")</f>
        <v/>
      </c>
      <c r="B676" s="4" t="n"/>
    </row>
    <row r="677">
      <c r="A677" s="6">
        <f>IFERROR(VLOOKUP($B677,Company_Cat!$B$2:$E$623,2,FALSE),"")</f>
        <v/>
      </c>
      <c r="B677" s="4" t="n"/>
    </row>
    <row r="678">
      <c r="A678" s="6">
        <f>IFERROR(VLOOKUP($B678,Company_Cat!$B$2:$E$623,2,FALSE),"")</f>
        <v/>
      </c>
      <c r="B678" s="4" t="n"/>
    </row>
    <row r="679">
      <c r="A679" s="6">
        <f>IFERROR(VLOOKUP($B679,Company_Cat!$B$2:$E$623,2,FALSE),"")</f>
        <v/>
      </c>
      <c r="B679" s="4" t="n"/>
    </row>
    <row r="680">
      <c r="A680" s="6">
        <f>IFERROR(VLOOKUP($B680,Company_Cat!$B$2:$E$623,2,FALSE),"")</f>
        <v/>
      </c>
      <c r="B680" s="4" t="n"/>
    </row>
    <row r="681">
      <c r="A681" s="6">
        <f>IFERROR(VLOOKUP($B681,Company_Cat!$B$2:$E$623,2,FALSE),"")</f>
        <v/>
      </c>
      <c r="B681" s="4" t="n"/>
    </row>
    <row r="682">
      <c r="A682" s="6">
        <f>IFERROR(VLOOKUP($B682,Company_Cat!$B$2:$E$623,2,FALSE),"")</f>
        <v/>
      </c>
      <c r="B682" s="4" t="n"/>
    </row>
    <row r="683">
      <c r="A683" s="6">
        <f>IFERROR(VLOOKUP($B683,Company_Cat!$B$2:$E$623,2,FALSE),"")</f>
        <v/>
      </c>
      <c r="B683" s="4" t="n"/>
    </row>
    <row r="684">
      <c r="A684" s="6">
        <f>IFERROR(VLOOKUP($B684,Company_Cat!$B$2:$E$623,2,FALSE),"")</f>
        <v/>
      </c>
      <c r="B684" s="4" t="n"/>
    </row>
    <row r="685">
      <c r="A685" s="6">
        <f>IFERROR(VLOOKUP($B685,Company_Cat!$B$2:$E$623,2,FALSE),"")</f>
        <v/>
      </c>
      <c r="B685" s="4" t="n"/>
    </row>
    <row r="686">
      <c r="A686" s="6">
        <f>IFERROR(VLOOKUP($B686,Company_Cat!$B$2:$E$623,2,FALSE),"")</f>
        <v/>
      </c>
      <c r="B686" s="4" t="n"/>
    </row>
    <row r="687">
      <c r="A687" s="6">
        <f>IFERROR(VLOOKUP($B687,Company_Cat!$B$2:$E$623,2,FALSE),"")</f>
        <v/>
      </c>
      <c r="B687" s="4" t="n"/>
    </row>
    <row r="688">
      <c r="A688" s="6">
        <f>IFERROR(VLOOKUP($B688,Company_Cat!$B$2:$E$623,2,FALSE),"")</f>
        <v/>
      </c>
      <c r="B688" s="4" t="n"/>
    </row>
    <row r="689">
      <c r="A689" s="6">
        <f>IFERROR(VLOOKUP($B689,Company_Cat!$B$2:$E$623,2,FALSE),"")</f>
        <v/>
      </c>
      <c r="B689" s="4" t="n"/>
    </row>
    <row r="690">
      <c r="A690" s="6">
        <f>IFERROR(VLOOKUP($B690,Company_Cat!$B$2:$E$623,2,FALSE),"")</f>
        <v/>
      </c>
      <c r="B690" s="4" t="n"/>
    </row>
    <row r="691">
      <c r="A691" s="6">
        <f>IFERROR(VLOOKUP($B691,Company_Cat!$B$2:$E$623,2,FALSE),"")</f>
        <v/>
      </c>
      <c r="B691" s="4" t="n"/>
    </row>
    <row r="692">
      <c r="A692" s="6">
        <f>IFERROR(VLOOKUP($B692,Company_Cat!$B$2:$E$623,2,FALSE),"")</f>
        <v/>
      </c>
      <c r="B692" s="4" t="n"/>
    </row>
    <row r="693">
      <c r="A693" s="6">
        <f>IFERROR(VLOOKUP($B693,Company_Cat!$B$2:$E$623,2,FALSE),"")</f>
        <v/>
      </c>
      <c r="B693" s="4" t="n"/>
    </row>
    <row r="694">
      <c r="A694" s="6">
        <f>IFERROR(VLOOKUP($B694,Company_Cat!$B$2:$E$623,2,FALSE),"")</f>
        <v/>
      </c>
      <c r="B694" s="4" t="n"/>
    </row>
    <row r="695">
      <c r="A695" s="6">
        <f>IFERROR(VLOOKUP($B695,Company_Cat!$B$2:$E$623,2,FALSE),"")</f>
        <v/>
      </c>
      <c r="B695" s="4" t="n"/>
    </row>
    <row r="696">
      <c r="A696" s="6">
        <f>IFERROR(VLOOKUP($B696,Company_Cat!$B$2:$E$623,2,FALSE),"")</f>
        <v/>
      </c>
      <c r="B696" s="4" t="n"/>
    </row>
    <row r="697">
      <c r="A697" s="6">
        <f>IFERROR(VLOOKUP($B697,Company_Cat!$B$2:$E$623,2,FALSE),"")</f>
        <v/>
      </c>
      <c r="B697" s="4" t="n"/>
    </row>
    <row r="698">
      <c r="A698" s="6">
        <f>IFERROR(VLOOKUP($B698,Company_Cat!$B$2:$E$623,2,FALSE),"")</f>
        <v/>
      </c>
      <c r="B698" s="4" t="n"/>
    </row>
    <row r="699">
      <c r="A699" s="6">
        <f>IFERROR(VLOOKUP($B699,Company_Cat!$B$2:$E$623,2,FALSE),"")</f>
        <v/>
      </c>
      <c r="B699" s="4" t="n"/>
    </row>
    <row r="700">
      <c r="A700" s="6">
        <f>IFERROR(VLOOKUP($B700,Company_Cat!$B$2:$E$623,2,FALSE),"")</f>
        <v/>
      </c>
      <c r="B700" s="4" t="n"/>
    </row>
    <row r="701">
      <c r="A701" s="6">
        <f>IFERROR(VLOOKUP($B701,Company_Cat!$B$2:$E$623,2,FALSE),"")</f>
        <v/>
      </c>
      <c r="B701" s="4" t="n"/>
    </row>
    <row r="702">
      <c r="A702" s="6">
        <f>IFERROR(VLOOKUP($B702,Company_Cat!$B$2:$E$623,2,FALSE),"")</f>
        <v/>
      </c>
      <c r="B702" s="4" t="n"/>
    </row>
    <row r="703">
      <c r="A703" s="6">
        <f>IFERROR(VLOOKUP($B703,Company_Cat!$B$2:$E$623,2,FALSE),"")</f>
        <v/>
      </c>
      <c r="B703" s="4" t="n"/>
    </row>
    <row r="704">
      <c r="A704" s="6">
        <f>IFERROR(VLOOKUP($B704,Company_Cat!$B$2:$E$623,2,FALSE),"")</f>
        <v/>
      </c>
      <c r="B704" s="4" t="n"/>
    </row>
    <row r="705">
      <c r="A705" s="6">
        <f>IFERROR(VLOOKUP($B705,Company_Cat!$B$2:$E$623,2,FALSE),"")</f>
        <v/>
      </c>
      <c r="B705" s="4" t="n"/>
    </row>
    <row r="706">
      <c r="A706" s="6">
        <f>IFERROR(VLOOKUP($B706,Company_Cat!$B$2:$E$623,2,FALSE),"")</f>
        <v/>
      </c>
      <c r="B706" s="4" t="n"/>
    </row>
    <row r="707">
      <c r="A707" s="6">
        <f>IFERROR(VLOOKUP($B707,Company_Cat!$B$2:$E$623,2,FALSE),"")</f>
        <v/>
      </c>
      <c r="B707" s="4" t="n"/>
    </row>
    <row r="708">
      <c r="A708" s="6">
        <f>IFERROR(VLOOKUP($B708,Company_Cat!$B$2:$E$623,2,FALSE),"")</f>
        <v/>
      </c>
      <c r="B708" s="4" t="n"/>
    </row>
    <row r="709">
      <c r="A709" s="6">
        <f>IFERROR(VLOOKUP($B709,Company_Cat!$B$2:$E$623,2,FALSE),"")</f>
        <v/>
      </c>
      <c r="B709" s="4" t="n"/>
    </row>
    <row r="710">
      <c r="A710" s="6">
        <f>IFERROR(VLOOKUP($B710,Company_Cat!$B$2:$E$623,2,FALSE),"")</f>
        <v/>
      </c>
      <c r="B710" s="4" t="n"/>
    </row>
    <row r="711">
      <c r="A711" s="6">
        <f>IFERROR(VLOOKUP($B711,Company_Cat!$B$2:$E$623,2,FALSE),"")</f>
        <v/>
      </c>
      <c r="B711" s="4" t="n"/>
    </row>
    <row r="712">
      <c r="A712" s="6">
        <f>IFERROR(VLOOKUP($B712,Company_Cat!$B$2:$E$623,2,FALSE),"")</f>
        <v/>
      </c>
      <c r="B712" s="4" t="n"/>
    </row>
    <row r="713">
      <c r="A713" s="6">
        <f>IFERROR(VLOOKUP($B713,Company_Cat!$B$2:$E$623,2,FALSE),"")</f>
        <v/>
      </c>
      <c r="B713" s="4" t="n"/>
    </row>
    <row r="714">
      <c r="A714" s="6">
        <f>IFERROR(VLOOKUP($B714,Company_Cat!$B$2:$E$623,2,FALSE),"")</f>
        <v/>
      </c>
      <c r="B714" s="4" t="n"/>
    </row>
    <row r="715">
      <c r="A715" s="6">
        <f>IFERROR(VLOOKUP($B715,Company_Cat!$B$2:$E$623,2,FALSE),"")</f>
        <v/>
      </c>
      <c r="B715" s="4" t="n"/>
    </row>
    <row r="716">
      <c r="A716" s="6">
        <f>IFERROR(VLOOKUP($B716,Company_Cat!$B$2:$E$623,2,FALSE),"")</f>
        <v/>
      </c>
      <c r="B716" s="4" t="n"/>
    </row>
    <row r="717">
      <c r="A717" s="6">
        <f>IFERROR(VLOOKUP($B717,Company_Cat!$B$2:$E$623,2,FALSE),"")</f>
        <v/>
      </c>
      <c r="B717" s="4" t="n"/>
    </row>
    <row r="718">
      <c r="A718" s="6">
        <f>IFERROR(VLOOKUP($B718,Company_Cat!$B$2:$E$623,2,FALSE),"")</f>
        <v/>
      </c>
      <c r="B718" s="4" t="n"/>
    </row>
    <row r="719">
      <c r="A719" s="6">
        <f>IFERROR(VLOOKUP($B719,Company_Cat!$B$2:$E$623,2,FALSE),"")</f>
        <v/>
      </c>
      <c r="B719" s="4" t="n"/>
    </row>
    <row r="720">
      <c r="A720" s="6">
        <f>IFERROR(VLOOKUP($B720,Company_Cat!$B$2:$E$623,2,FALSE),"")</f>
        <v/>
      </c>
      <c r="B720" s="4" t="n"/>
    </row>
    <row r="721">
      <c r="A721" s="6">
        <f>IFERROR(VLOOKUP($B721,Company_Cat!$B$2:$E$623,2,FALSE),"")</f>
        <v/>
      </c>
      <c r="B721" s="4" t="n"/>
    </row>
    <row r="722">
      <c r="A722" s="6">
        <f>IFERROR(VLOOKUP($B722,Company_Cat!$B$2:$E$623,2,FALSE),"")</f>
        <v/>
      </c>
      <c r="B722" s="4" t="n"/>
    </row>
    <row r="723">
      <c r="A723" s="6">
        <f>IFERROR(VLOOKUP($B723,Company_Cat!$B$2:$E$623,2,FALSE),"")</f>
        <v/>
      </c>
      <c r="B723" s="4" t="n"/>
    </row>
    <row r="724">
      <c r="A724" s="6">
        <f>IFERROR(VLOOKUP($B724,Company_Cat!$B$2:$E$623,2,FALSE),"")</f>
        <v/>
      </c>
      <c r="B724" s="4" t="n"/>
    </row>
    <row r="725">
      <c r="A725" s="6">
        <f>IFERROR(VLOOKUP($B725,Company_Cat!$B$2:$E$623,2,FALSE),"")</f>
        <v/>
      </c>
      <c r="B725" s="4" t="n"/>
    </row>
    <row r="726">
      <c r="A726" s="6">
        <f>IFERROR(VLOOKUP($B726,Company_Cat!$B$2:$E$623,2,FALSE),"")</f>
        <v/>
      </c>
      <c r="B726" s="4" t="n"/>
    </row>
    <row r="727">
      <c r="A727" s="6">
        <f>IFERROR(VLOOKUP($B727,Company_Cat!$B$2:$E$623,2,FALSE),"")</f>
        <v/>
      </c>
      <c r="B727" s="4" t="n"/>
    </row>
    <row r="728">
      <c r="A728" s="6">
        <f>IFERROR(VLOOKUP($B728,Company_Cat!$B$2:$E$623,2,FALSE),"")</f>
        <v/>
      </c>
      <c r="B728" s="4" t="n"/>
    </row>
    <row r="729">
      <c r="A729" s="6">
        <f>IFERROR(VLOOKUP($B729,Company_Cat!$B$2:$E$623,2,FALSE),"")</f>
        <v/>
      </c>
      <c r="B729" s="4" t="n"/>
    </row>
    <row r="730">
      <c r="A730" s="6">
        <f>IFERROR(VLOOKUP($B730,Company_Cat!$B$2:$E$623,2,FALSE),"")</f>
        <v/>
      </c>
      <c r="B730" s="4" t="n"/>
    </row>
    <row r="731">
      <c r="A731" s="6">
        <f>IFERROR(VLOOKUP($B731,Company_Cat!$B$2:$E$623,2,FALSE),"")</f>
        <v/>
      </c>
      <c r="B731" s="4" t="n"/>
    </row>
    <row r="732">
      <c r="A732" s="6">
        <f>IFERROR(VLOOKUP($B732,Company_Cat!$B$2:$E$623,2,FALSE),"")</f>
        <v/>
      </c>
      <c r="B732" s="4" t="n"/>
    </row>
    <row r="733">
      <c r="A733" s="6">
        <f>IFERROR(VLOOKUP($B733,Company_Cat!$B$2:$E$623,2,FALSE),"")</f>
        <v/>
      </c>
      <c r="B733" s="4" t="n"/>
    </row>
    <row r="734">
      <c r="A734" s="6">
        <f>IFERROR(VLOOKUP($B734,Company_Cat!$B$2:$E$623,2,FALSE),"")</f>
        <v/>
      </c>
      <c r="B734" s="4" t="n"/>
    </row>
    <row r="735">
      <c r="A735" s="6">
        <f>IFERROR(VLOOKUP($B735,Company_Cat!$B$2:$E$623,2,FALSE),"")</f>
        <v/>
      </c>
      <c r="B735" s="4" t="n"/>
    </row>
    <row r="736">
      <c r="A736" s="6">
        <f>IFERROR(VLOOKUP($B736,Company_Cat!$B$2:$E$623,2,FALSE),"")</f>
        <v/>
      </c>
      <c r="B736" s="4" t="n"/>
    </row>
    <row r="737">
      <c r="A737" s="6">
        <f>IFERROR(VLOOKUP($B737,Company_Cat!$B$2:$E$623,2,FALSE),"")</f>
        <v/>
      </c>
      <c r="B737" s="4" t="n"/>
    </row>
    <row r="738">
      <c r="A738" s="6">
        <f>IFERROR(VLOOKUP($B738,Company_Cat!$B$2:$E$623,2,FALSE),"")</f>
        <v/>
      </c>
      <c r="B738" s="4" t="n"/>
    </row>
    <row r="739">
      <c r="A739" s="6">
        <f>IFERROR(VLOOKUP($B739,Company_Cat!$B$2:$E$623,2,FALSE),"")</f>
        <v/>
      </c>
      <c r="B739" s="4" t="n"/>
    </row>
    <row r="740">
      <c r="A740" s="6">
        <f>IFERROR(VLOOKUP($B740,Company_Cat!$B$2:$E$623,2,FALSE),"")</f>
        <v/>
      </c>
      <c r="B740" s="4" t="n"/>
    </row>
    <row r="741">
      <c r="A741" s="6">
        <f>IFERROR(VLOOKUP($B741,Company_Cat!$B$2:$E$623,2,FALSE),"")</f>
        <v/>
      </c>
      <c r="B741" s="4" t="n"/>
    </row>
    <row r="742">
      <c r="A742" s="6">
        <f>IFERROR(VLOOKUP($B742,Company_Cat!$B$2:$E$623,2,FALSE),"")</f>
        <v/>
      </c>
      <c r="B742" s="4" t="n"/>
    </row>
    <row r="743">
      <c r="A743" s="6">
        <f>IFERROR(VLOOKUP($B743,Company_Cat!$B$2:$E$623,2,FALSE),"")</f>
        <v/>
      </c>
      <c r="B743" s="4" t="n"/>
    </row>
    <row r="744">
      <c r="A744" s="6">
        <f>IFERROR(VLOOKUP($B744,Company_Cat!$B$2:$E$623,2,FALSE),"")</f>
        <v/>
      </c>
      <c r="B744" s="4" t="n"/>
    </row>
    <row r="745">
      <c r="A745" s="6">
        <f>IFERROR(VLOOKUP($B745,Company_Cat!$B$2:$E$623,2,FALSE),"")</f>
        <v/>
      </c>
      <c r="B745" s="4" t="n"/>
    </row>
    <row r="746">
      <c r="A746" s="6">
        <f>IFERROR(VLOOKUP($B746,Company_Cat!$B$2:$E$623,2,FALSE),"")</f>
        <v/>
      </c>
      <c r="B746" s="4" t="n"/>
    </row>
    <row r="747">
      <c r="A747" s="6">
        <f>IFERROR(VLOOKUP($B747,Company_Cat!$B$2:$E$623,2,FALSE),"")</f>
        <v/>
      </c>
      <c r="B747" s="4" t="n"/>
    </row>
    <row r="748">
      <c r="A748" s="6">
        <f>IFERROR(VLOOKUP($B748,Company_Cat!$B$2:$E$623,2,FALSE),"")</f>
        <v/>
      </c>
      <c r="B748" s="4" t="n"/>
    </row>
    <row r="749">
      <c r="A749" s="6">
        <f>IFERROR(VLOOKUP($B749,Company_Cat!$B$2:$E$623,2,FALSE),"")</f>
        <v/>
      </c>
      <c r="B749" s="4" t="n"/>
    </row>
    <row r="750">
      <c r="A750" s="6">
        <f>IFERROR(VLOOKUP($B750,Company_Cat!$B$2:$E$623,2,FALSE),"")</f>
        <v/>
      </c>
      <c r="B750" s="4" t="n"/>
    </row>
    <row r="751">
      <c r="A751" s="6">
        <f>IFERROR(VLOOKUP($B751,Company_Cat!$B$2:$E$623,2,FALSE),"")</f>
        <v/>
      </c>
      <c r="B751" s="4" t="n"/>
    </row>
    <row r="752">
      <c r="A752" s="6">
        <f>IFERROR(VLOOKUP($B752,Company_Cat!$B$2:$E$623,2,FALSE),"")</f>
        <v/>
      </c>
      <c r="B752" s="4" t="n"/>
    </row>
    <row r="753">
      <c r="A753" s="6">
        <f>IFERROR(VLOOKUP($B753,Company_Cat!$B$2:$E$623,2,FALSE),"")</f>
        <v/>
      </c>
      <c r="B753" s="4" t="n"/>
    </row>
    <row r="754">
      <c r="A754" s="6">
        <f>IFERROR(VLOOKUP($B754,Company_Cat!$B$2:$E$623,2,FALSE),"")</f>
        <v/>
      </c>
      <c r="B754" s="4" t="n"/>
    </row>
    <row r="755">
      <c r="A755" s="6">
        <f>IFERROR(VLOOKUP($B755,Company_Cat!$B$2:$E$623,2,FALSE),"")</f>
        <v/>
      </c>
      <c r="B755" s="4" t="n"/>
    </row>
    <row r="756">
      <c r="A756" s="6">
        <f>IFERROR(VLOOKUP($B756,Company_Cat!$B$2:$E$623,2,FALSE),"")</f>
        <v/>
      </c>
      <c r="B756" s="4" t="n"/>
    </row>
    <row r="757">
      <c r="A757" s="6">
        <f>IFERROR(VLOOKUP($B757,Company_Cat!$B$2:$E$623,2,FALSE),"")</f>
        <v/>
      </c>
      <c r="B757" s="4" t="n"/>
    </row>
    <row r="758">
      <c r="A758" s="6">
        <f>IFERROR(VLOOKUP($B758,Company_Cat!$B$2:$E$623,2,FALSE),"")</f>
        <v/>
      </c>
      <c r="B758" s="4" t="n"/>
    </row>
    <row r="759">
      <c r="A759" s="6">
        <f>IFERROR(VLOOKUP($B759,Company_Cat!$B$2:$E$623,2,FALSE),"")</f>
        <v/>
      </c>
      <c r="B759" s="4" t="n"/>
    </row>
    <row r="760">
      <c r="A760" s="6">
        <f>IFERROR(VLOOKUP($B760,Company_Cat!$B$2:$E$623,2,FALSE),"")</f>
        <v/>
      </c>
      <c r="B760" s="4" t="n"/>
    </row>
    <row r="761">
      <c r="A761" s="6">
        <f>IFERROR(VLOOKUP($B761,Company_Cat!$B$2:$E$623,2,FALSE),"")</f>
        <v/>
      </c>
      <c r="B761" s="4" t="n"/>
    </row>
    <row r="762">
      <c r="A762" s="6">
        <f>IFERROR(VLOOKUP($B762,Company_Cat!$B$2:$E$623,2,FALSE),"")</f>
        <v/>
      </c>
      <c r="B762" s="4" t="n"/>
    </row>
    <row r="763">
      <c r="A763" s="6">
        <f>IFERROR(VLOOKUP($B763,Company_Cat!$B$2:$E$623,2,FALSE),"")</f>
        <v/>
      </c>
      <c r="B763" s="4" t="n"/>
    </row>
    <row r="764">
      <c r="A764" s="6">
        <f>IFERROR(VLOOKUP($B764,Company_Cat!$B$2:$E$623,2,FALSE),"")</f>
        <v/>
      </c>
      <c r="B764" s="4" t="n"/>
    </row>
    <row r="765">
      <c r="A765" s="6">
        <f>IFERROR(VLOOKUP($B765,Company_Cat!$B$2:$E$623,2,FALSE),"")</f>
        <v/>
      </c>
      <c r="B765" s="4" t="n"/>
    </row>
    <row r="766">
      <c r="A766" s="6">
        <f>IFERROR(VLOOKUP($B766,Company_Cat!$B$2:$E$623,2,FALSE),"")</f>
        <v/>
      </c>
      <c r="B766" s="4" t="n"/>
    </row>
    <row r="767">
      <c r="A767" s="6">
        <f>IFERROR(VLOOKUP($B767,Company_Cat!$B$2:$E$623,2,FALSE),"")</f>
        <v/>
      </c>
      <c r="B767" s="4" t="n"/>
    </row>
    <row r="768">
      <c r="A768" s="6">
        <f>IFERROR(VLOOKUP($B768,Company_Cat!$B$2:$E$623,2,FALSE),"")</f>
        <v/>
      </c>
      <c r="B768" s="4" t="n"/>
    </row>
    <row r="769">
      <c r="A769" s="6">
        <f>IFERROR(VLOOKUP($B769,Company_Cat!$B$2:$E$623,2,FALSE),"")</f>
        <v/>
      </c>
      <c r="B769" s="4" t="n"/>
    </row>
    <row r="770">
      <c r="A770" s="6">
        <f>IFERROR(VLOOKUP($B770,Company_Cat!$B$2:$E$623,2,FALSE),"")</f>
        <v/>
      </c>
      <c r="B770" s="4" t="n"/>
    </row>
    <row r="771">
      <c r="A771" s="6">
        <f>IFERROR(VLOOKUP($B771,Company_Cat!$B$2:$E$623,2,FALSE),"")</f>
        <v/>
      </c>
      <c r="B771" s="4" t="n"/>
    </row>
    <row r="772">
      <c r="A772" s="6">
        <f>IFERROR(VLOOKUP($B772,Company_Cat!$B$2:$E$623,2,FALSE),"")</f>
        <v/>
      </c>
      <c r="B772" s="4" t="n"/>
    </row>
    <row r="773">
      <c r="A773" s="6">
        <f>IFERROR(VLOOKUP($B773,Company_Cat!$B$2:$E$623,2,FALSE),"")</f>
        <v/>
      </c>
      <c r="B773" s="4" t="n"/>
    </row>
    <row r="774">
      <c r="A774" s="6">
        <f>IFERROR(VLOOKUP($B774,Company_Cat!$B$2:$E$623,2,FALSE),"")</f>
        <v/>
      </c>
      <c r="B774" s="4" t="n"/>
    </row>
    <row r="775">
      <c r="A775" s="6">
        <f>IFERROR(VLOOKUP($B775,Company_Cat!$B$2:$E$623,2,FALSE),"")</f>
        <v/>
      </c>
      <c r="B775" s="4" t="n"/>
    </row>
    <row r="776">
      <c r="A776" s="6">
        <f>IFERROR(VLOOKUP($B776,Company_Cat!$B$2:$E$623,2,FALSE),"")</f>
        <v/>
      </c>
      <c r="B776" s="4" t="n"/>
    </row>
    <row r="777">
      <c r="A777" s="6">
        <f>IFERROR(VLOOKUP($B777,Company_Cat!$B$2:$E$623,2,FALSE),"")</f>
        <v/>
      </c>
      <c r="B777" s="4" t="n"/>
    </row>
    <row r="778">
      <c r="A778" s="6">
        <f>IFERROR(VLOOKUP($B778,Company_Cat!$B$2:$E$623,2,FALSE),"")</f>
        <v/>
      </c>
      <c r="B778" s="4" t="n"/>
    </row>
    <row r="779">
      <c r="A779" s="6">
        <f>IFERROR(VLOOKUP($B779,Company_Cat!$B$2:$E$623,2,FALSE),"")</f>
        <v/>
      </c>
      <c r="B779" s="4" t="n"/>
    </row>
    <row r="780">
      <c r="A780" s="6">
        <f>IFERROR(VLOOKUP($B780,Company_Cat!$B$2:$E$623,2,FALSE),"")</f>
        <v/>
      </c>
      <c r="B780" s="4" t="n"/>
    </row>
    <row r="781">
      <c r="A781" s="6">
        <f>IFERROR(VLOOKUP($B781,Company_Cat!$B$2:$E$623,2,FALSE),"")</f>
        <v/>
      </c>
      <c r="B781" s="4" t="n"/>
    </row>
    <row r="782">
      <c r="A782" s="6">
        <f>IFERROR(VLOOKUP($B782,Company_Cat!$B$2:$E$623,2,FALSE),"")</f>
        <v/>
      </c>
      <c r="B782" s="4" t="n"/>
    </row>
    <row r="783">
      <c r="A783" s="6">
        <f>IFERROR(VLOOKUP($B783,Company_Cat!$B$2:$E$623,2,FALSE),"")</f>
        <v/>
      </c>
      <c r="B783" s="4" t="n"/>
    </row>
    <row r="784">
      <c r="A784" s="6">
        <f>IFERROR(VLOOKUP($B784,Company_Cat!$B$2:$E$623,2,FALSE),"")</f>
        <v/>
      </c>
      <c r="B784" s="4" t="n"/>
    </row>
    <row r="785">
      <c r="A785" s="6">
        <f>IFERROR(VLOOKUP($B785,Company_Cat!$B$2:$E$623,2,FALSE),"")</f>
        <v/>
      </c>
      <c r="B785" s="4" t="n"/>
    </row>
    <row r="786">
      <c r="A786" s="6">
        <f>IFERROR(VLOOKUP($B786,Company_Cat!$B$2:$E$623,2,FALSE),"")</f>
        <v/>
      </c>
      <c r="B786" s="4" t="n"/>
    </row>
    <row r="787">
      <c r="A787" s="6">
        <f>IFERROR(VLOOKUP($B787,Company_Cat!$B$2:$E$623,2,FALSE),"")</f>
        <v/>
      </c>
      <c r="B787" s="4" t="n"/>
    </row>
    <row r="788">
      <c r="A788" s="6">
        <f>IFERROR(VLOOKUP($B788,Company_Cat!$B$2:$E$623,2,FALSE),"")</f>
        <v/>
      </c>
      <c r="B788" s="4" t="n"/>
    </row>
    <row r="789">
      <c r="A789" s="6">
        <f>IFERROR(VLOOKUP($B789,Company_Cat!$B$2:$E$623,2,FALSE),"")</f>
        <v/>
      </c>
      <c r="B789" s="4" t="n"/>
    </row>
    <row r="790">
      <c r="A790" s="6">
        <f>IFERROR(VLOOKUP($B790,Company_Cat!$B$2:$E$623,2,FALSE),"")</f>
        <v/>
      </c>
      <c r="B790" s="4" t="n"/>
    </row>
    <row r="791">
      <c r="A791" s="6">
        <f>IFERROR(VLOOKUP($B791,Company_Cat!$B$2:$E$623,2,FALSE),"")</f>
        <v/>
      </c>
      <c r="B791" s="4" t="n"/>
    </row>
    <row r="792">
      <c r="A792" s="6">
        <f>IFERROR(VLOOKUP($B792,Company_Cat!$B$2:$E$623,2,FALSE),"")</f>
        <v/>
      </c>
      <c r="B792" s="4" t="n"/>
    </row>
    <row r="793">
      <c r="A793" s="6">
        <f>IFERROR(VLOOKUP($B793,Company_Cat!$B$2:$E$623,2,FALSE),"")</f>
        <v/>
      </c>
      <c r="B793" s="4" t="n"/>
    </row>
    <row r="794">
      <c r="A794" s="6">
        <f>IFERROR(VLOOKUP($B794,Company_Cat!$B$2:$E$623,2,FALSE),"")</f>
        <v/>
      </c>
      <c r="B794" s="4" t="n"/>
    </row>
    <row r="795">
      <c r="A795" s="6">
        <f>IFERROR(VLOOKUP($B795,Company_Cat!$B$2:$E$623,2,FALSE),"")</f>
        <v/>
      </c>
      <c r="B795" s="4" t="n"/>
    </row>
    <row r="796">
      <c r="A796" s="6">
        <f>IFERROR(VLOOKUP($B796,Company_Cat!$B$2:$E$623,2,FALSE),"")</f>
        <v/>
      </c>
      <c r="B796" s="4" t="n"/>
    </row>
    <row r="797">
      <c r="A797" s="6">
        <f>IFERROR(VLOOKUP($B797,Company_Cat!$B$2:$E$623,2,FALSE),"")</f>
        <v/>
      </c>
      <c r="B797" s="4" t="n"/>
    </row>
    <row r="798">
      <c r="A798" s="6">
        <f>IFERROR(VLOOKUP($B798,Company_Cat!$B$2:$E$623,2,FALSE),"")</f>
        <v/>
      </c>
      <c r="B798" s="4" t="n"/>
    </row>
    <row r="799">
      <c r="A799" s="6">
        <f>IFERROR(VLOOKUP($B799,Company_Cat!$B$2:$E$623,2,FALSE),"")</f>
        <v/>
      </c>
      <c r="B799" s="4" t="n"/>
    </row>
    <row r="800">
      <c r="A800" s="6">
        <f>IFERROR(VLOOKUP($B800,Company_Cat!$B$2:$E$623,2,FALSE),"")</f>
        <v/>
      </c>
      <c r="B800" s="4" t="n"/>
    </row>
    <row r="801">
      <c r="A801" s="6">
        <f>IFERROR(VLOOKUP($B801,Company_Cat!$B$2:$E$623,2,FALSE),"")</f>
        <v/>
      </c>
      <c r="B801" s="4" t="n"/>
    </row>
    <row r="802">
      <c r="A802" s="6">
        <f>IFERROR(VLOOKUP($B802,Company_Cat!$B$2:$E$623,2,FALSE),"")</f>
        <v/>
      </c>
      <c r="B802" s="4" t="n"/>
    </row>
    <row r="803">
      <c r="A803" s="6">
        <f>IFERROR(VLOOKUP($B803,Company_Cat!$B$2:$E$623,2,FALSE),"")</f>
        <v/>
      </c>
      <c r="B803" s="4" t="n"/>
    </row>
    <row r="804">
      <c r="A804" s="6">
        <f>IFERROR(VLOOKUP($B804,Company_Cat!$B$2:$E$623,2,FALSE),"")</f>
        <v/>
      </c>
      <c r="B804" s="4" t="n"/>
    </row>
    <row r="805">
      <c r="A805" s="6">
        <f>IFERROR(VLOOKUP($B805,Company_Cat!$B$2:$E$623,2,FALSE),"")</f>
        <v/>
      </c>
      <c r="B805" s="4" t="n"/>
    </row>
    <row r="806">
      <c r="A806" s="6">
        <f>IFERROR(VLOOKUP($B806,Company_Cat!$B$2:$E$623,2,FALSE),"")</f>
        <v/>
      </c>
      <c r="B806" s="4" t="n"/>
    </row>
    <row r="807">
      <c r="A807" s="6">
        <f>IFERROR(VLOOKUP($B807,Company_Cat!$B$2:$E$623,2,FALSE),"")</f>
        <v/>
      </c>
      <c r="B807" s="4" t="n"/>
    </row>
    <row r="808">
      <c r="A808" s="6">
        <f>IFERROR(VLOOKUP($B808,Company_Cat!$B$2:$E$623,2,FALSE),"")</f>
        <v/>
      </c>
      <c r="B808" s="4" t="n"/>
    </row>
    <row r="809">
      <c r="A809" s="6">
        <f>IFERROR(VLOOKUP($B809,Company_Cat!$B$2:$E$623,2,FALSE),"")</f>
        <v/>
      </c>
      <c r="B809" s="4" t="n"/>
    </row>
    <row r="810">
      <c r="A810" s="6">
        <f>IFERROR(VLOOKUP($B810,Company_Cat!$B$2:$E$623,2,FALSE),"")</f>
        <v/>
      </c>
      <c r="B810" s="4" t="n"/>
    </row>
    <row r="811">
      <c r="A811" s="6">
        <f>IFERROR(VLOOKUP($B811,Company_Cat!$B$2:$E$623,2,FALSE),"")</f>
        <v/>
      </c>
      <c r="B811" s="4" t="n"/>
    </row>
    <row r="812">
      <c r="A812" s="6">
        <f>IFERROR(VLOOKUP($B812,Company_Cat!$B$2:$E$623,2,FALSE),"")</f>
        <v/>
      </c>
      <c r="B812" s="4" t="n"/>
    </row>
    <row r="813">
      <c r="A813" s="6">
        <f>IFERROR(VLOOKUP($B813,Company_Cat!$B$2:$E$623,2,FALSE),"")</f>
        <v/>
      </c>
      <c r="B813" s="4" t="n"/>
    </row>
    <row r="814">
      <c r="A814" s="6">
        <f>IFERROR(VLOOKUP($B814,Company_Cat!$B$2:$E$623,2,FALSE),"")</f>
        <v/>
      </c>
      <c r="B814" s="4" t="n"/>
    </row>
    <row r="815">
      <c r="A815" s="6">
        <f>IFERROR(VLOOKUP($B815,Company_Cat!$B$2:$E$623,2,FALSE),"")</f>
        <v/>
      </c>
      <c r="B815" s="4" t="n"/>
    </row>
    <row r="816">
      <c r="A816" s="6">
        <f>IFERROR(VLOOKUP($B816,Company_Cat!$B$2:$E$623,2,FALSE),"")</f>
        <v/>
      </c>
      <c r="B816" s="4" t="n"/>
    </row>
    <row r="817">
      <c r="A817" s="6">
        <f>IFERROR(VLOOKUP($B817,Company_Cat!$B$2:$E$623,2,FALSE),"")</f>
        <v/>
      </c>
      <c r="B817" s="4" t="n"/>
    </row>
    <row r="818">
      <c r="A818" s="6">
        <f>IFERROR(VLOOKUP($B818,Company_Cat!$B$2:$E$623,2,FALSE),"")</f>
        <v/>
      </c>
      <c r="B818" s="4" t="n"/>
    </row>
    <row r="819">
      <c r="A819" s="6">
        <f>IFERROR(VLOOKUP($B819,Company_Cat!$B$2:$E$623,2,FALSE),"")</f>
        <v/>
      </c>
      <c r="B819" s="4" t="n"/>
    </row>
    <row r="820">
      <c r="A820" s="6">
        <f>IFERROR(VLOOKUP($B820,Company_Cat!$B$2:$E$623,2,FALSE),"")</f>
        <v/>
      </c>
      <c r="B820" s="4" t="n"/>
    </row>
    <row r="821">
      <c r="A821" s="6">
        <f>IFERROR(VLOOKUP($B821,Company_Cat!$B$2:$E$623,2,FALSE),"")</f>
        <v/>
      </c>
      <c r="B821" s="4" t="n"/>
    </row>
    <row r="822">
      <c r="A822" s="6">
        <f>IFERROR(VLOOKUP($B822,Company_Cat!$B$2:$E$623,2,FALSE),"")</f>
        <v/>
      </c>
      <c r="B822" s="4" t="n"/>
    </row>
    <row r="823">
      <c r="A823" s="6">
        <f>IFERROR(VLOOKUP($B823,Company_Cat!$B$2:$E$623,2,FALSE),"")</f>
        <v/>
      </c>
      <c r="B823" s="4" t="n"/>
    </row>
    <row r="824">
      <c r="A824" s="6">
        <f>IFERROR(VLOOKUP($B824,Company_Cat!$B$2:$E$623,2,FALSE),"")</f>
        <v/>
      </c>
      <c r="B824" s="4" t="n"/>
    </row>
    <row r="825">
      <c r="A825" s="6">
        <f>IFERROR(VLOOKUP($B825,Company_Cat!$B$2:$E$623,2,FALSE),"")</f>
        <v/>
      </c>
      <c r="B825" s="4" t="n"/>
    </row>
    <row r="826">
      <c r="A826" s="6">
        <f>IFERROR(VLOOKUP($B826,Company_Cat!$B$2:$E$623,2,FALSE),"")</f>
        <v/>
      </c>
      <c r="B826" s="4" t="n"/>
    </row>
    <row r="827">
      <c r="A827" s="6">
        <f>IFERROR(VLOOKUP($B827,Company_Cat!$B$2:$E$623,2,FALSE),"")</f>
        <v/>
      </c>
      <c r="B827" s="4" t="n"/>
    </row>
    <row r="828">
      <c r="A828" s="6">
        <f>IFERROR(VLOOKUP($B828,Company_Cat!$B$2:$E$623,2,FALSE),"")</f>
        <v/>
      </c>
      <c r="B828" s="4" t="n"/>
    </row>
    <row r="829">
      <c r="A829" s="6">
        <f>IFERROR(VLOOKUP($B829,Company_Cat!$B$2:$E$623,2,FALSE),"")</f>
        <v/>
      </c>
      <c r="B829" s="4" t="n"/>
    </row>
    <row r="830">
      <c r="A830" s="6">
        <f>IFERROR(VLOOKUP($B830,Company_Cat!$B$2:$E$623,2,FALSE),"")</f>
        <v/>
      </c>
      <c r="B830" s="4" t="n"/>
    </row>
    <row r="831">
      <c r="A831" s="6">
        <f>IFERROR(VLOOKUP($B831,Company_Cat!$B$2:$E$623,2,FALSE),"")</f>
        <v/>
      </c>
      <c r="B831" s="4" t="n"/>
    </row>
    <row r="832">
      <c r="A832" s="6">
        <f>IFERROR(VLOOKUP($B832,Company_Cat!$B$2:$E$623,2,FALSE),"")</f>
        <v/>
      </c>
      <c r="B832" s="4" t="n"/>
    </row>
    <row r="833">
      <c r="A833" s="6">
        <f>IFERROR(VLOOKUP($B833,Company_Cat!$B$2:$E$623,2,FALSE),"")</f>
        <v/>
      </c>
      <c r="B833" s="4" t="n"/>
    </row>
    <row r="834">
      <c r="A834" s="6">
        <f>IFERROR(VLOOKUP($B834,Company_Cat!$B$2:$E$623,2,FALSE),"")</f>
        <v/>
      </c>
      <c r="B834" s="4" t="n"/>
    </row>
    <row r="835">
      <c r="A835" s="6">
        <f>IFERROR(VLOOKUP($B835,Company_Cat!$B$2:$E$623,2,FALSE),"")</f>
        <v/>
      </c>
      <c r="B835" s="4" t="n"/>
    </row>
    <row r="836">
      <c r="A836" s="6">
        <f>IFERROR(VLOOKUP($B836,Company_Cat!$B$2:$E$623,2,FALSE),"")</f>
        <v/>
      </c>
      <c r="B836" s="4" t="n"/>
    </row>
    <row r="837">
      <c r="A837" s="6">
        <f>IFERROR(VLOOKUP($B837,Company_Cat!$B$2:$E$623,2,FALSE),"")</f>
        <v/>
      </c>
      <c r="B837" s="4" t="n"/>
    </row>
    <row r="838">
      <c r="A838" s="6">
        <f>IFERROR(VLOOKUP($B838,Company_Cat!$B$2:$E$623,2,FALSE),"")</f>
        <v/>
      </c>
      <c r="B838" s="4" t="n"/>
    </row>
    <row r="839">
      <c r="A839" s="6">
        <f>IFERROR(VLOOKUP($B839,Company_Cat!$B$2:$E$623,2,FALSE),"")</f>
        <v/>
      </c>
      <c r="B839" s="4" t="n"/>
    </row>
    <row r="840">
      <c r="A840" s="6">
        <f>IFERROR(VLOOKUP($B840,Company_Cat!$B$2:$E$623,2,FALSE),"")</f>
        <v/>
      </c>
      <c r="B840" s="4" t="n"/>
    </row>
    <row r="841">
      <c r="A841" s="6">
        <f>IFERROR(VLOOKUP($B841,Company_Cat!$B$2:$E$623,2,FALSE),"")</f>
        <v/>
      </c>
      <c r="B841" s="4" t="n"/>
    </row>
    <row r="842">
      <c r="A842" s="6">
        <f>IFERROR(VLOOKUP($B842,Company_Cat!$B$2:$E$623,2,FALSE),"")</f>
        <v/>
      </c>
      <c r="B842" s="4" t="n"/>
    </row>
    <row r="843">
      <c r="A843" s="6">
        <f>IFERROR(VLOOKUP($B843,Company_Cat!$B$2:$E$623,2,FALSE),"")</f>
        <v/>
      </c>
      <c r="B843" s="4" t="n"/>
    </row>
    <row r="844">
      <c r="A844" s="6">
        <f>IFERROR(VLOOKUP($B844,Company_Cat!$B$2:$E$623,2,FALSE),"")</f>
        <v/>
      </c>
      <c r="B844" s="4" t="n"/>
    </row>
    <row r="845">
      <c r="A845" s="6">
        <f>IFERROR(VLOOKUP($B845,Company_Cat!$B$2:$E$623,2,FALSE),"")</f>
        <v/>
      </c>
      <c r="B845" s="4" t="n"/>
    </row>
    <row r="846">
      <c r="A846" s="6">
        <f>IFERROR(VLOOKUP($B846,Company_Cat!$B$2:$E$623,2,FALSE),"")</f>
        <v/>
      </c>
      <c r="B846" s="4" t="n"/>
    </row>
    <row r="847">
      <c r="A847" s="6">
        <f>IFERROR(VLOOKUP($B847,Company_Cat!$B$2:$E$623,2,FALSE),"")</f>
        <v/>
      </c>
      <c r="B847" s="4" t="n"/>
    </row>
    <row r="848">
      <c r="A848" s="6">
        <f>IFERROR(VLOOKUP($B848,Company_Cat!$B$2:$E$623,2,FALSE),"")</f>
        <v/>
      </c>
      <c r="B848" s="4" t="n"/>
    </row>
    <row r="849">
      <c r="A849" s="6">
        <f>IFERROR(VLOOKUP($B849,Company_Cat!$B$2:$E$623,2,FALSE),"")</f>
        <v/>
      </c>
      <c r="B849" s="4" t="n"/>
    </row>
    <row r="850">
      <c r="A850" s="6">
        <f>IFERROR(VLOOKUP($B850,Company_Cat!$B$2:$E$623,2,FALSE),"")</f>
        <v/>
      </c>
      <c r="B850" s="4" t="n"/>
    </row>
    <row r="851">
      <c r="A851" s="6">
        <f>IFERROR(VLOOKUP($B851,Company_Cat!$B$2:$E$623,2,FALSE),"")</f>
        <v/>
      </c>
      <c r="B851" s="4" t="n"/>
    </row>
    <row r="852">
      <c r="A852" s="6">
        <f>IFERROR(VLOOKUP($B852,Company_Cat!$B$2:$E$623,2,FALSE),"")</f>
        <v/>
      </c>
      <c r="B852" s="4" t="n"/>
    </row>
    <row r="853">
      <c r="A853" s="6">
        <f>IFERROR(VLOOKUP($B853,Company_Cat!$B$2:$E$623,2,FALSE),"")</f>
        <v/>
      </c>
      <c r="B853" s="4" t="n"/>
    </row>
    <row r="854">
      <c r="A854" s="6">
        <f>IFERROR(VLOOKUP($B854,Company_Cat!$B$2:$E$623,2,FALSE),"")</f>
        <v/>
      </c>
      <c r="B854" s="4" t="n"/>
    </row>
    <row r="855">
      <c r="A855" s="6">
        <f>IFERROR(VLOOKUP($B855,Company_Cat!$B$2:$E$623,2,FALSE),"")</f>
        <v/>
      </c>
      <c r="B855" s="4" t="n"/>
    </row>
    <row r="856">
      <c r="A856" s="6">
        <f>IFERROR(VLOOKUP($B856,Company_Cat!$B$2:$E$623,2,FALSE),"")</f>
        <v/>
      </c>
      <c r="B856" s="4" t="n"/>
    </row>
    <row r="857">
      <c r="A857" s="6">
        <f>IFERROR(VLOOKUP($B857,Company_Cat!$B$2:$E$623,2,FALSE),"")</f>
        <v/>
      </c>
      <c r="B857" s="4" t="n"/>
    </row>
    <row r="858">
      <c r="A858" s="6">
        <f>IFERROR(VLOOKUP($B858,Company_Cat!$B$2:$E$623,2,FALSE),"")</f>
        <v/>
      </c>
      <c r="B858" s="4" t="n"/>
    </row>
    <row r="859">
      <c r="A859" s="6">
        <f>IFERROR(VLOOKUP($B859,Company_Cat!$B$2:$E$623,2,FALSE),"")</f>
        <v/>
      </c>
      <c r="B859" s="4" t="n"/>
    </row>
    <row r="860">
      <c r="A860" s="6">
        <f>IFERROR(VLOOKUP($B860,Company_Cat!$B$2:$E$623,2,FALSE),"")</f>
        <v/>
      </c>
      <c r="B860" s="4" t="n"/>
    </row>
    <row r="861">
      <c r="A861" s="6">
        <f>IFERROR(VLOOKUP($B861,Company_Cat!$B$2:$E$623,2,FALSE),"")</f>
        <v/>
      </c>
      <c r="B861" s="4" t="n"/>
    </row>
    <row r="862">
      <c r="A862" s="6">
        <f>IFERROR(VLOOKUP($B862,Company_Cat!$B$2:$E$623,2,FALSE),"")</f>
        <v/>
      </c>
      <c r="B862" s="4" t="n"/>
    </row>
    <row r="863">
      <c r="A863" s="6">
        <f>IFERROR(VLOOKUP($B863,Company_Cat!$B$2:$E$623,2,FALSE),"")</f>
        <v/>
      </c>
      <c r="B863" s="4" t="n"/>
    </row>
    <row r="864">
      <c r="A864" s="6">
        <f>IFERROR(VLOOKUP($B864,Company_Cat!$B$2:$E$623,2,FALSE),"")</f>
        <v/>
      </c>
      <c r="B864" s="4" t="n"/>
    </row>
    <row r="865">
      <c r="A865" s="6">
        <f>IFERROR(VLOOKUP($B865,Company_Cat!$B$2:$E$623,2,FALSE),"")</f>
        <v/>
      </c>
      <c r="B865" s="4" t="n"/>
    </row>
    <row r="866">
      <c r="A866" s="6">
        <f>IFERROR(VLOOKUP($B866,Company_Cat!$B$2:$E$623,2,FALSE),"")</f>
        <v/>
      </c>
      <c r="B866" s="4" t="n"/>
    </row>
    <row r="867">
      <c r="A867" s="6">
        <f>IFERROR(VLOOKUP($B867,Company_Cat!$B$2:$E$623,2,FALSE),"")</f>
        <v/>
      </c>
      <c r="B867" s="4" t="n"/>
    </row>
    <row r="868">
      <c r="A868" s="6">
        <f>IFERROR(VLOOKUP($B868,Company_Cat!$B$2:$E$623,2,FALSE),"")</f>
        <v/>
      </c>
      <c r="B868" s="4" t="n"/>
    </row>
    <row r="869">
      <c r="A869" s="6">
        <f>IFERROR(VLOOKUP($B869,Company_Cat!$B$2:$E$623,2,FALSE),"")</f>
        <v/>
      </c>
      <c r="B869" s="4" t="n"/>
    </row>
    <row r="870">
      <c r="A870" s="6">
        <f>IFERROR(VLOOKUP($B870,Company_Cat!$B$2:$E$623,2,FALSE),"")</f>
        <v/>
      </c>
      <c r="B870" s="4" t="n"/>
    </row>
    <row r="871">
      <c r="A871" s="6">
        <f>IFERROR(VLOOKUP($B871,Company_Cat!$B$2:$E$623,2,FALSE),"")</f>
        <v/>
      </c>
      <c r="B871" s="4" t="n"/>
    </row>
    <row r="872">
      <c r="A872" s="6">
        <f>IFERROR(VLOOKUP($B872,Company_Cat!$B$2:$E$623,2,FALSE),"")</f>
        <v/>
      </c>
      <c r="B872" s="4" t="n"/>
    </row>
    <row r="873">
      <c r="A873" s="6">
        <f>IFERROR(VLOOKUP($B873,Company_Cat!$B$2:$E$623,2,FALSE),"")</f>
        <v/>
      </c>
      <c r="B873" s="4" t="n"/>
    </row>
    <row r="874">
      <c r="A874" s="6">
        <f>IFERROR(VLOOKUP($B874,Company_Cat!$B$2:$E$623,2,FALSE),"")</f>
        <v/>
      </c>
      <c r="B874" s="4" t="n"/>
    </row>
    <row r="875">
      <c r="A875" s="6">
        <f>IFERROR(VLOOKUP($B875,Company_Cat!$B$2:$E$623,2,FALSE),"")</f>
        <v/>
      </c>
      <c r="B875" s="4" t="n"/>
    </row>
    <row r="876">
      <c r="A876" s="6">
        <f>IFERROR(VLOOKUP($B876,Company_Cat!$B$2:$E$623,2,FALSE),"")</f>
        <v/>
      </c>
      <c r="B876" s="4" t="n"/>
    </row>
    <row r="877">
      <c r="A877" s="6">
        <f>IFERROR(VLOOKUP($B877,Company_Cat!$B$2:$E$623,2,FALSE),"")</f>
        <v/>
      </c>
      <c r="B877" s="4" t="n"/>
    </row>
    <row r="878">
      <c r="A878" s="6">
        <f>IFERROR(VLOOKUP($B878,Company_Cat!$B$2:$E$623,2,FALSE),"")</f>
        <v/>
      </c>
      <c r="B878" s="4" t="n"/>
    </row>
    <row r="879">
      <c r="A879" s="6">
        <f>IFERROR(VLOOKUP($B879,Company_Cat!$B$2:$E$623,2,FALSE),"")</f>
        <v/>
      </c>
      <c r="B879" s="4" t="n"/>
    </row>
    <row r="880">
      <c r="A880" s="6">
        <f>IFERROR(VLOOKUP($B880,Company_Cat!$B$2:$E$623,2,FALSE),"")</f>
        <v/>
      </c>
      <c r="B880" s="4" t="n"/>
    </row>
    <row r="881">
      <c r="A881" s="6">
        <f>IFERROR(VLOOKUP($B881,Company_Cat!$B$2:$E$623,2,FALSE),"")</f>
        <v/>
      </c>
      <c r="B881" s="4" t="n"/>
    </row>
    <row r="882">
      <c r="A882" s="6">
        <f>IFERROR(VLOOKUP($B882,Company_Cat!$B$2:$E$623,2,FALSE),"")</f>
        <v/>
      </c>
      <c r="B882" s="4" t="n"/>
    </row>
    <row r="883">
      <c r="A883" s="6">
        <f>IFERROR(VLOOKUP($B883,Company_Cat!$B$2:$E$623,2,FALSE),"")</f>
        <v/>
      </c>
      <c r="B883" s="4" t="n"/>
    </row>
    <row r="884">
      <c r="A884" s="6">
        <f>IFERROR(VLOOKUP($B884,Company_Cat!$B$2:$E$623,2,FALSE),"")</f>
        <v/>
      </c>
      <c r="B884" s="4" t="n"/>
    </row>
    <row r="885">
      <c r="A885" s="6">
        <f>IFERROR(VLOOKUP($B885,Company_Cat!$B$2:$E$623,2,FALSE),"")</f>
        <v/>
      </c>
      <c r="B885" s="4" t="n"/>
    </row>
    <row r="886">
      <c r="A886" s="6">
        <f>IFERROR(VLOOKUP($B886,Company_Cat!$B$2:$E$623,2,FALSE),"")</f>
        <v/>
      </c>
      <c r="B886" s="4" t="n"/>
    </row>
    <row r="887">
      <c r="A887" s="6">
        <f>IFERROR(VLOOKUP($B887,Company_Cat!$B$2:$E$623,2,FALSE),"")</f>
        <v/>
      </c>
      <c r="B887" s="4" t="n"/>
    </row>
    <row r="888">
      <c r="A888" s="6">
        <f>IFERROR(VLOOKUP($B888,Company_Cat!$B$2:$E$623,2,FALSE),"")</f>
        <v/>
      </c>
      <c r="B888" s="4" t="n"/>
    </row>
    <row r="889">
      <c r="A889" s="6">
        <f>IFERROR(VLOOKUP($B889,Company_Cat!$B$2:$E$623,2,FALSE),"")</f>
        <v/>
      </c>
      <c r="B889" s="4" t="n"/>
    </row>
    <row r="890">
      <c r="A890" s="6">
        <f>IFERROR(VLOOKUP($B890,Company_Cat!$B$2:$E$623,2,FALSE),"")</f>
        <v/>
      </c>
      <c r="B890" s="4" t="n"/>
    </row>
    <row r="891">
      <c r="A891" s="6">
        <f>IFERROR(VLOOKUP($B891,Company_Cat!$B$2:$E$623,2,FALSE),"")</f>
        <v/>
      </c>
      <c r="B891" s="4" t="n"/>
    </row>
    <row r="892">
      <c r="A892" s="6">
        <f>IFERROR(VLOOKUP($B892,Company_Cat!$B$2:$E$623,2,FALSE),"")</f>
        <v/>
      </c>
      <c r="B892" s="4" t="n"/>
    </row>
    <row r="893">
      <c r="A893" s="6">
        <f>IFERROR(VLOOKUP($B893,Company_Cat!$B$2:$E$623,2,FALSE),"")</f>
        <v/>
      </c>
      <c r="B893" s="4" t="n"/>
    </row>
    <row r="894">
      <c r="A894" s="6">
        <f>IFERROR(VLOOKUP($B894,Company_Cat!$B$2:$E$623,2,FALSE),"")</f>
        <v/>
      </c>
      <c r="B894" s="4" t="n"/>
    </row>
    <row r="895">
      <c r="A895" s="6">
        <f>IFERROR(VLOOKUP($B895,Company_Cat!$B$2:$E$623,2,FALSE),"")</f>
        <v/>
      </c>
      <c r="B895" s="4" t="n"/>
    </row>
    <row r="896">
      <c r="A896" s="6">
        <f>IFERROR(VLOOKUP($B896,Company_Cat!$B$2:$E$623,2,FALSE),"")</f>
        <v/>
      </c>
      <c r="B896" s="4" t="n"/>
    </row>
    <row r="897">
      <c r="A897" s="6">
        <f>IFERROR(VLOOKUP($B897,Company_Cat!$B$2:$E$623,2,FALSE),"")</f>
        <v/>
      </c>
      <c r="B897" s="4" t="n"/>
    </row>
    <row r="898">
      <c r="A898" s="6">
        <f>IFERROR(VLOOKUP($B898,Company_Cat!$B$2:$E$623,2,FALSE),"")</f>
        <v/>
      </c>
      <c r="B898" s="4" t="n"/>
    </row>
    <row r="899">
      <c r="A899" s="6">
        <f>IFERROR(VLOOKUP($B899,Company_Cat!$B$2:$E$623,2,FALSE),"")</f>
        <v/>
      </c>
      <c r="B899" s="4" t="n"/>
    </row>
    <row r="900">
      <c r="A900" s="6">
        <f>IFERROR(VLOOKUP($B900,Company_Cat!$B$2:$E$623,2,FALSE),"")</f>
        <v/>
      </c>
      <c r="B900" s="4" t="n"/>
    </row>
    <row r="901">
      <c r="A901" s="6">
        <f>IFERROR(VLOOKUP($B901,Company_Cat!$B$2:$E$623,2,FALSE),"")</f>
        <v/>
      </c>
      <c r="B901" s="4" t="n"/>
    </row>
    <row r="902">
      <c r="A902" s="6">
        <f>IFERROR(VLOOKUP($B902,Company_Cat!$B$2:$E$623,2,FALSE),"")</f>
        <v/>
      </c>
      <c r="B902" s="4" t="n"/>
    </row>
    <row r="903">
      <c r="A903" s="6">
        <f>IFERROR(VLOOKUP($B903,Company_Cat!$B$2:$E$623,2,FALSE),"")</f>
        <v/>
      </c>
      <c r="B903" s="4" t="n"/>
    </row>
    <row r="904">
      <c r="A904" s="6">
        <f>IFERROR(VLOOKUP($B904,Company_Cat!$B$2:$E$623,2,FALSE),"")</f>
        <v/>
      </c>
      <c r="B904" s="4" t="n"/>
    </row>
    <row r="905">
      <c r="A905" s="6">
        <f>IFERROR(VLOOKUP($B905,Company_Cat!$B$2:$E$623,2,FALSE),"")</f>
        <v/>
      </c>
      <c r="B905" s="4" t="n"/>
    </row>
    <row r="906">
      <c r="A906" s="6">
        <f>IFERROR(VLOOKUP($B906,Company_Cat!$B$2:$E$623,2,FALSE),"")</f>
        <v/>
      </c>
      <c r="B906" s="4" t="n"/>
    </row>
    <row r="907">
      <c r="A907" s="6">
        <f>IFERROR(VLOOKUP($B907,Company_Cat!$B$2:$E$623,2,FALSE),"")</f>
        <v/>
      </c>
      <c r="B907" s="4" t="n"/>
    </row>
    <row r="908">
      <c r="A908" s="6">
        <f>IFERROR(VLOOKUP($B908,Company_Cat!$B$2:$E$623,2,FALSE),"")</f>
        <v/>
      </c>
      <c r="B908" s="4" t="n"/>
    </row>
    <row r="909">
      <c r="A909" s="6">
        <f>IFERROR(VLOOKUP($B909,Company_Cat!$B$2:$E$623,2,FALSE),"")</f>
        <v/>
      </c>
      <c r="B909" s="4" t="n"/>
    </row>
    <row r="910">
      <c r="A910" s="6">
        <f>IFERROR(VLOOKUP($B910,Company_Cat!$B$2:$E$623,2,FALSE),"")</f>
        <v/>
      </c>
      <c r="B910" s="4" t="n"/>
    </row>
    <row r="911">
      <c r="A911" s="6">
        <f>IFERROR(VLOOKUP($B911,Company_Cat!$B$2:$E$623,2,FALSE),"")</f>
        <v/>
      </c>
      <c r="B911" s="4" t="n"/>
    </row>
    <row r="912">
      <c r="A912" s="6">
        <f>IFERROR(VLOOKUP($B912,Company_Cat!$B$2:$E$623,2,FALSE),"")</f>
        <v/>
      </c>
      <c r="B912" s="4" t="n"/>
    </row>
    <row r="913">
      <c r="A913" s="6">
        <f>IFERROR(VLOOKUP($B913,Company_Cat!$B$2:$E$623,2,FALSE),"")</f>
        <v/>
      </c>
      <c r="B913" s="4" t="n"/>
    </row>
    <row r="914">
      <c r="A914" s="6">
        <f>IFERROR(VLOOKUP($B914,Company_Cat!$B$2:$E$623,2,FALSE),"")</f>
        <v/>
      </c>
      <c r="B914" s="4" t="n"/>
    </row>
    <row r="915">
      <c r="A915" s="6">
        <f>IFERROR(VLOOKUP($B915,Company_Cat!$B$2:$E$623,2,FALSE),"")</f>
        <v/>
      </c>
      <c r="B915" s="4" t="n"/>
    </row>
    <row r="916">
      <c r="A916" s="6">
        <f>IFERROR(VLOOKUP($B916,Company_Cat!$B$2:$E$623,2,FALSE),"")</f>
        <v/>
      </c>
      <c r="B916" s="4" t="n"/>
    </row>
    <row r="917">
      <c r="A917" s="6">
        <f>IFERROR(VLOOKUP($B917,Company_Cat!$B$2:$E$623,2,FALSE),"")</f>
        <v/>
      </c>
      <c r="B917" s="4" t="n"/>
    </row>
    <row r="918">
      <c r="A918" s="6">
        <f>IFERROR(VLOOKUP($B918,Company_Cat!$B$2:$E$623,2,FALSE),"")</f>
        <v/>
      </c>
      <c r="B918" s="4" t="n"/>
    </row>
    <row r="919">
      <c r="A919" s="6">
        <f>IFERROR(VLOOKUP($B919,Company_Cat!$B$2:$E$623,2,FALSE),"")</f>
        <v/>
      </c>
      <c r="B919" s="4" t="n"/>
    </row>
    <row r="920">
      <c r="A920" s="6">
        <f>IFERROR(VLOOKUP($B920,Company_Cat!$B$2:$E$623,2,FALSE),"")</f>
        <v/>
      </c>
      <c r="B920" s="4" t="n"/>
    </row>
    <row r="921">
      <c r="A921" s="6">
        <f>IFERROR(VLOOKUP($B921,Company_Cat!$B$2:$E$623,2,FALSE),"")</f>
        <v/>
      </c>
      <c r="B921" s="4" t="n"/>
    </row>
    <row r="922">
      <c r="A922" s="6">
        <f>IFERROR(VLOOKUP($B922,Company_Cat!$B$2:$E$623,2,FALSE),"")</f>
        <v/>
      </c>
      <c r="B922" s="4" t="n"/>
    </row>
    <row r="923">
      <c r="A923" s="6">
        <f>IFERROR(VLOOKUP($B923,Company_Cat!$B$2:$E$623,2,FALSE),"")</f>
        <v/>
      </c>
      <c r="B923" s="4" t="n"/>
    </row>
    <row r="924">
      <c r="A924" s="6">
        <f>IFERROR(VLOOKUP($B924,Company_Cat!$B$2:$E$623,2,FALSE),"")</f>
        <v/>
      </c>
      <c r="B924" s="4" t="n"/>
    </row>
    <row r="925">
      <c r="A925" s="6">
        <f>IFERROR(VLOOKUP($B925,Company_Cat!$B$2:$E$623,2,FALSE),"")</f>
        <v/>
      </c>
      <c r="B925" s="4" t="n"/>
    </row>
    <row r="926">
      <c r="A926" s="6">
        <f>IFERROR(VLOOKUP($B926,Company_Cat!$B$2:$E$623,2,FALSE),"")</f>
        <v/>
      </c>
      <c r="B926" s="4" t="n"/>
    </row>
    <row r="927">
      <c r="A927" s="6">
        <f>IFERROR(VLOOKUP($B927,Company_Cat!$B$2:$E$623,2,FALSE),"")</f>
        <v/>
      </c>
      <c r="B927" s="4" t="n"/>
    </row>
    <row r="928">
      <c r="A928" s="6">
        <f>IFERROR(VLOOKUP($B928,Company_Cat!$B$2:$E$623,2,FALSE),"")</f>
        <v/>
      </c>
      <c r="B928" s="4" t="n"/>
    </row>
    <row r="929">
      <c r="A929" s="6">
        <f>IFERROR(VLOOKUP($B929,Company_Cat!$B$2:$E$623,2,FALSE),"")</f>
        <v/>
      </c>
      <c r="B929" s="4" t="n"/>
    </row>
    <row r="930">
      <c r="A930" s="6">
        <f>IFERROR(VLOOKUP($B930,Company_Cat!$B$2:$E$623,2,FALSE),"")</f>
        <v/>
      </c>
      <c r="B930" s="4" t="n"/>
    </row>
    <row r="931">
      <c r="A931" s="6">
        <f>IFERROR(VLOOKUP($B931,Company_Cat!$B$2:$E$623,2,FALSE),"")</f>
        <v/>
      </c>
      <c r="B931" s="4" t="n"/>
    </row>
    <row r="932">
      <c r="A932" s="6">
        <f>IFERROR(VLOOKUP($B932,Company_Cat!$B$2:$E$623,2,FALSE),"")</f>
        <v/>
      </c>
      <c r="B932" s="4" t="n"/>
    </row>
    <row r="933">
      <c r="A933" s="6">
        <f>IFERROR(VLOOKUP($B933,Company_Cat!$B$2:$E$623,2,FALSE),"")</f>
        <v/>
      </c>
      <c r="B933" s="4" t="n"/>
    </row>
    <row r="934">
      <c r="A934" s="6">
        <f>IFERROR(VLOOKUP($B934,Company_Cat!$B$2:$E$623,2,FALSE),"")</f>
        <v/>
      </c>
      <c r="B934" s="4" t="n"/>
    </row>
    <row r="935">
      <c r="A935" s="6">
        <f>IFERROR(VLOOKUP($B935,Company_Cat!$B$2:$E$623,2,FALSE),"")</f>
        <v/>
      </c>
      <c r="B935" s="4" t="n"/>
    </row>
    <row r="936">
      <c r="A936" s="6">
        <f>IFERROR(VLOOKUP($B936,Company_Cat!$B$2:$E$623,2,FALSE),"")</f>
        <v/>
      </c>
      <c r="B936" s="4" t="n"/>
    </row>
    <row r="937">
      <c r="A937" s="6">
        <f>IFERROR(VLOOKUP($B937,Company_Cat!$B$2:$E$623,2,FALSE),"")</f>
        <v/>
      </c>
      <c r="B937" s="4" t="n"/>
    </row>
    <row r="938">
      <c r="A938" s="6">
        <f>IFERROR(VLOOKUP($B938,Company_Cat!$B$2:$E$623,2,FALSE),"")</f>
        <v/>
      </c>
      <c r="B938" s="4" t="n"/>
    </row>
    <row r="939">
      <c r="A939" s="6">
        <f>IFERROR(VLOOKUP($B939,Company_Cat!$B$2:$E$623,2,FALSE),"")</f>
        <v/>
      </c>
      <c r="B939" s="4" t="n"/>
    </row>
    <row r="940">
      <c r="A940" s="6">
        <f>IFERROR(VLOOKUP($B940,Company_Cat!$B$2:$E$623,2,FALSE),"")</f>
        <v/>
      </c>
      <c r="B940" s="4" t="n"/>
    </row>
    <row r="941">
      <c r="A941" s="6">
        <f>IFERROR(VLOOKUP($B941,Company_Cat!$B$2:$E$623,2,FALSE),"")</f>
        <v/>
      </c>
      <c r="B941" s="4" t="n"/>
    </row>
    <row r="942">
      <c r="A942" s="6">
        <f>IFERROR(VLOOKUP($B942,Company_Cat!$B$2:$E$623,2,FALSE),"")</f>
        <v/>
      </c>
      <c r="B942" s="4" t="n"/>
    </row>
    <row r="943">
      <c r="A943" s="6">
        <f>IFERROR(VLOOKUP($B943,Company_Cat!$B$2:$E$623,2,FALSE),"")</f>
        <v/>
      </c>
      <c r="B943" s="4" t="n"/>
    </row>
    <row r="944">
      <c r="A944" s="6">
        <f>IFERROR(VLOOKUP($B944,Company_Cat!$B$2:$E$623,2,FALSE),"")</f>
        <v/>
      </c>
      <c r="B944" s="4" t="n"/>
    </row>
    <row r="945">
      <c r="A945" s="6">
        <f>IFERROR(VLOOKUP($B945,Company_Cat!$B$2:$E$623,2,FALSE),"")</f>
        <v/>
      </c>
      <c r="B945" s="4" t="n"/>
    </row>
    <row r="946">
      <c r="A946" s="6">
        <f>IFERROR(VLOOKUP($B946,Company_Cat!$B$2:$E$623,2,FALSE),"")</f>
        <v/>
      </c>
      <c r="B946" s="4" t="n"/>
    </row>
    <row r="947">
      <c r="A947" s="6">
        <f>IFERROR(VLOOKUP($B947,Company_Cat!$B$2:$E$623,2,FALSE),"")</f>
        <v/>
      </c>
      <c r="B947" s="4" t="n"/>
    </row>
    <row r="948">
      <c r="A948" s="6">
        <f>IFERROR(VLOOKUP($B948,Company_Cat!$B$2:$E$623,2,FALSE),"")</f>
        <v/>
      </c>
      <c r="B948" s="4" t="n"/>
    </row>
    <row r="949">
      <c r="A949" s="6">
        <f>IFERROR(VLOOKUP($B949,Company_Cat!$B$2:$E$623,2,FALSE),"")</f>
        <v/>
      </c>
      <c r="B949" s="4" t="n"/>
    </row>
    <row r="950">
      <c r="A950" s="6">
        <f>IFERROR(VLOOKUP($B950,Company_Cat!$B$2:$E$623,2,FALSE),"")</f>
        <v/>
      </c>
      <c r="B950" s="4" t="n"/>
    </row>
    <row r="951">
      <c r="A951" s="6">
        <f>IFERROR(VLOOKUP($B951,Company_Cat!$B$2:$E$623,2,FALSE),"")</f>
        <v/>
      </c>
      <c r="B951" s="4" t="n"/>
    </row>
    <row r="952">
      <c r="A952" s="6">
        <f>IFERROR(VLOOKUP($B952,Company_Cat!$B$2:$E$623,2,FALSE),"")</f>
        <v/>
      </c>
      <c r="B952" s="4" t="n"/>
    </row>
    <row r="953">
      <c r="A953" s="6">
        <f>IFERROR(VLOOKUP($B953,Company_Cat!$B$2:$E$623,2,FALSE),"")</f>
        <v/>
      </c>
      <c r="B953" s="4" t="n"/>
    </row>
    <row r="954">
      <c r="A954" s="6">
        <f>IFERROR(VLOOKUP($B954,Company_Cat!$B$2:$E$623,2,FALSE),"")</f>
        <v/>
      </c>
      <c r="B954" s="4" t="n"/>
    </row>
    <row r="955">
      <c r="A955" s="6">
        <f>IFERROR(VLOOKUP($B955,Company_Cat!$B$2:$E$623,2,FALSE),"")</f>
        <v/>
      </c>
      <c r="B955" s="4" t="n"/>
    </row>
    <row r="956">
      <c r="A956" s="6">
        <f>IFERROR(VLOOKUP($B956,Company_Cat!$B$2:$E$623,2,FALSE),"")</f>
        <v/>
      </c>
      <c r="B956" s="4" t="n"/>
    </row>
    <row r="957">
      <c r="A957" s="6">
        <f>IFERROR(VLOOKUP($B957,Company_Cat!$B$2:$E$623,2,FALSE),"")</f>
        <v/>
      </c>
      <c r="B957" s="4" t="n"/>
    </row>
    <row r="958">
      <c r="A958" s="6">
        <f>IFERROR(VLOOKUP($B958,Company_Cat!$B$2:$E$623,2,FALSE),"")</f>
        <v/>
      </c>
      <c r="B958" s="4" t="n"/>
    </row>
    <row r="959">
      <c r="A959" s="6">
        <f>IFERROR(VLOOKUP($B959,Company_Cat!$B$2:$E$623,2,FALSE),"")</f>
        <v/>
      </c>
      <c r="B959" s="4" t="n"/>
    </row>
    <row r="960">
      <c r="A960" s="6">
        <f>IFERROR(VLOOKUP($B960,Company_Cat!$B$2:$E$623,2,FALSE),"")</f>
        <v/>
      </c>
      <c r="B960" s="4" t="n"/>
    </row>
    <row r="961">
      <c r="A961" s="6">
        <f>IFERROR(VLOOKUP($B961,Company_Cat!$B$2:$E$623,2,FALSE),"")</f>
        <v/>
      </c>
      <c r="B961" s="4" t="n"/>
    </row>
    <row r="962">
      <c r="A962" s="6">
        <f>IFERROR(VLOOKUP($B962,Company_Cat!$B$2:$E$623,2,FALSE),"")</f>
        <v/>
      </c>
      <c r="B962" s="4" t="n"/>
    </row>
    <row r="963">
      <c r="A963" s="6">
        <f>IFERROR(VLOOKUP($B963,Company_Cat!$B$2:$E$623,2,FALSE),"")</f>
        <v/>
      </c>
      <c r="B963" s="4" t="n"/>
    </row>
    <row r="964">
      <c r="A964" s="6">
        <f>IFERROR(VLOOKUP($B964,Company_Cat!$B$2:$E$623,2,FALSE),"")</f>
        <v/>
      </c>
      <c r="B964" s="4" t="n"/>
    </row>
    <row r="965">
      <c r="A965" s="6">
        <f>IFERROR(VLOOKUP($B965,Company_Cat!$B$2:$E$623,2,FALSE),"")</f>
        <v/>
      </c>
      <c r="B965" s="4" t="n"/>
    </row>
    <row r="966">
      <c r="A966" s="6">
        <f>IFERROR(VLOOKUP($B966,Company_Cat!$B$2:$E$623,2,FALSE),"")</f>
        <v/>
      </c>
      <c r="B966" s="4" t="n"/>
    </row>
    <row r="967">
      <c r="A967" s="6">
        <f>IFERROR(VLOOKUP($B967,Company_Cat!$B$2:$E$623,2,FALSE),"")</f>
        <v/>
      </c>
      <c r="B967" s="4" t="n"/>
    </row>
    <row r="968">
      <c r="A968" s="6">
        <f>IFERROR(VLOOKUP($B968,Company_Cat!$B$2:$E$623,2,FALSE),"")</f>
        <v/>
      </c>
      <c r="B968" s="4" t="n"/>
    </row>
    <row r="969">
      <c r="A969" s="6">
        <f>IFERROR(VLOOKUP($B969,Company_Cat!$B$2:$E$623,2,FALSE),"")</f>
        <v/>
      </c>
      <c r="B969" s="4" t="n"/>
    </row>
    <row r="970">
      <c r="A970" s="6">
        <f>IFERROR(VLOOKUP($B970,Company_Cat!$B$2:$E$623,2,FALSE),"")</f>
        <v/>
      </c>
      <c r="B970" s="4" t="n"/>
    </row>
    <row r="971">
      <c r="A971" s="6">
        <f>IFERROR(VLOOKUP($B971,Company_Cat!$B$2:$E$623,2,FALSE),"")</f>
        <v/>
      </c>
      <c r="B971" s="4" t="n"/>
    </row>
    <row r="972">
      <c r="A972" s="6">
        <f>IFERROR(VLOOKUP($B972,Company_Cat!$B$2:$E$623,2,FALSE),"")</f>
        <v/>
      </c>
      <c r="B972" s="4" t="n"/>
    </row>
    <row r="973">
      <c r="A973" s="6">
        <f>IFERROR(VLOOKUP($B973,Company_Cat!$B$2:$E$623,2,FALSE),"")</f>
        <v/>
      </c>
      <c r="B973" s="4" t="n"/>
    </row>
    <row r="974">
      <c r="A974" s="6">
        <f>IFERROR(VLOOKUP($B974,Company_Cat!$B$2:$E$623,2,FALSE),"")</f>
        <v/>
      </c>
      <c r="B974" s="4" t="n"/>
    </row>
    <row r="975">
      <c r="A975" s="6">
        <f>IFERROR(VLOOKUP($B975,Company_Cat!$B$2:$E$623,2,FALSE),"")</f>
        <v/>
      </c>
      <c r="B975" s="4" t="n"/>
    </row>
    <row r="976">
      <c r="A976" s="6">
        <f>IFERROR(VLOOKUP($B976,Company_Cat!$B$2:$E$623,2,FALSE),"")</f>
        <v/>
      </c>
      <c r="B976" s="4" t="n"/>
    </row>
    <row r="977">
      <c r="A977" s="6">
        <f>IFERROR(VLOOKUP($B977,Company_Cat!$B$2:$E$623,2,FALSE),"")</f>
        <v/>
      </c>
      <c r="B977" s="4" t="n"/>
    </row>
    <row r="978">
      <c r="A978" s="6">
        <f>IFERROR(VLOOKUP($B978,Company_Cat!$B$2:$E$623,2,FALSE),"")</f>
        <v/>
      </c>
      <c r="B978" s="4" t="n"/>
    </row>
    <row r="979">
      <c r="A979" s="6">
        <f>IFERROR(VLOOKUP($B979,Company_Cat!$B$2:$E$623,2,FALSE),"")</f>
        <v/>
      </c>
      <c r="B979" s="4" t="n"/>
    </row>
    <row r="980">
      <c r="A980" s="6">
        <f>IFERROR(VLOOKUP($B980,Company_Cat!$B$2:$E$623,2,FALSE),"")</f>
        <v/>
      </c>
      <c r="B980" s="4" t="n"/>
    </row>
    <row r="981">
      <c r="A981" s="6">
        <f>IFERROR(VLOOKUP($B981,Company_Cat!$B$2:$E$623,2,FALSE),"")</f>
        <v/>
      </c>
      <c r="B981" s="4" t="n"/>
    </row>
    <row r="982">
      <c r="A982" s="6">
        <f>IFERROR(VLOOKUP($B982,Company_Cat!$B$2:$E$623,2,FALSE),"")</f>
        <v/>
      </c>
      <c r="B982" s="4" t="n"/>
    </row>
    <row r="983">
      <c r="A983" s="6">
        <f>IFERROR(VLOOKUP($B983,Company_Cat!$B$2:$E$623,2,FALSE),"")</f>
        <v/>
      </c>
      <c r="B983" s="4" t="n"/>
    </row>
    <row r="984">
      <c r="A984" s="6">
        <f>IFERROR(VLOOKUP($B984,Company_Cat!$B$2:$E$623,2,FALSE),"")</f>
        <v/>
      </c>
      <c r="B984" s="4" t="n"/>
    </row>
    <row r="985">
      <c r="A985" s="6">
        <f>IFERROR(VLOOKUP($B985,Company_Cat!$B$2:$E$623,2,FALSE),"")</f>
        <v/>
      </c>
      <c r="B985" s="4" t="n"/>
    </row>
    <row r="986">
      <c r="A986" s="6">
        <f>IFERROR(VLOOKUP($B986,Company_Cat!$B$2:$E$623,2,FALSE),"")</f>
        <v/>
      </c>
      <c r="B986" s="4" t="n"/>
    </row>
    <row r="987">
      <c r="A987" s="6">
        <f>IFERROR(VLOOKUP($B987,Company_Cat!$B$2:$E$623,2,FALSE),"")</f>
        <v/>
      </c>
      <c r="B987" s="4" t="n"/>
    </row>
    <row r="988">
      <c r="A988" s="6">
        <f>IFERROR(VLOOKUP($B988,Company_Cat!$B$2:$E$623,2,FALSE),"")</f>
        <v/>
      </c>
      <c r="B988" s="4" t="n"/>
    </row>
    <row r="989">
      <c r="A989" s="6">
        <f>IFERROR(VLOOKUP($B989,Company_Cat!$B$2:$E$623,2,FALSE),"")</f>
        <v/>
      </c>
      <c r="B989" s="4" t="n"/>
    </row>
    <row r="990">
      <c r="A990" s="6">
        <f>IFERROR(VLOOKUP($B990,Company_Cat!$B$2:$E$623,2,FALSE),"")</f>
        <v/>
      </c>
      <c r="B990" s="4" t="n"/>
    </row>
    <row r="991">
      <c r="A991" s="6">
        <f>IFERROR(VLOOKUP($B991,Company_Cat!$B$2:$E$623,2,FALSE),"")</f>
        <v/>
      </c>
      <c r="B991" s="4" t="n"/>
    </row>
    <row r="992">
      <c r="A992" s="6">
        <f>IFERROR(VLOOKUP($B992,Company_Cat!$B$2:$E$623,2,FALSE),"")</f>
        <v/>
      </c>
      <c r="B992" s="4" t="n"/>
    </row>
    <row r="993">
      <c r="A993" s="6">
        <f>IFERROR(VLOOKUP($B993,Company_Cat!$B$2:$E$623,2,FALSE),"")</f>
        <v/>
      </c>
      <c r="B993" s="4" t="n"/>
    </row>
    <row r="994">
      <c r="A994" s="6">
        <f>IFERROR(VLOOKUP($B994,Company_Cat!$B$2:$E$623,2,FALSE),"")</f>
        <v/>
      </c>
      <c r="B994" s="4" t="n"/>
    </row>
    <row r="995">
      <c r="A995" s="6">
        <f>IFERROR(VLOOKUP($B995,Company_Cat!$B$2:$E$623,2,FALSE),"")</f>
        <v/>
      </c>
      <c r="B995" s="4" t="n"/>
    </row>
    <row r="996">
      <c r="A996" s="6">
        <f>IFERROR(VLOOKUP($B996,Company_Cat!$B$2:$E$623,2,FALSE),"")</f>
        <v/>
      </c>
      <c r="B996" s="4" t="n"/>
    </row>
    <row r="997">
      <c r="A997" s="6">
        <f>IFERROR(VLOOKUP($B997,Company_Cat!$B$2:$E$623,2,FALSE),"")</f>
        <v/>
      </c>
      <c r="B997" s="4" t="n"/>
    </row>
    <row r="998">
      <c r="A998" s="6">
        <f>IFERROR(VLOOKUP($B998,Company_Cat!$B$2:$E$623,2,FALSE),"")</f>
        <v/>
      </c>
      <c r="B998" s="4" t="n"/>
    </row>
    <row r="999">
      <c r="A999" s="6">
        <f>IFERROR(VLOOKUP($B999,Company_Cat!$B$2:$E$623,2,FALSE),"")</f>
        <v/>
      </c>
      <c r="B999" s="4" t="n"/>
    </row>
    <row r="1000">
      <c r="A1000" s="6">
        <f>IFERROR(VLOOKUP($B1000,Company_Cat!$B$2:$E$623,2,FALSE),"")</f>
        <v/>
      </c>
      <c r="B1000" s="4" t="n"/>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 workbookViewId="1">
      <selection activeCell="A1" sqref="A1"/>
    </sheetView>
  </sheetViews>
  <sheetFormatPr baseColWidth="8" defaultColWidth="8.69921875" defaultRowHeight="13.8"/>
  <sheetData/>
  <pageMargins left="0.7" right="0.7" top="0.75" bottom="0.75" header="0.3" footer="0.3"/>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B11"/>
  <sheetViews>
    <sheetView workbookViewId="0">
      <selection activeCell="A1" sqref="A1"/>
    </sheetView>
    <sheetView workbookViewId="1">
      <selection activeCell="A1" sqref="A1"/>
    </sheetView>
  </sheetViews>
  <sheetFormatPr baseColWidth="8" defaultColWidth="9" defaultRowHeight="13.2"/>
  <cols>
    <col width="47.69921875" bestFit="1" customWidth="1" style="1" min="1" max="1"/>
    <col width="9" customWidth="1" style="1" min="2" max="16384"/>
  </cols>
  <sheetData>
    <row r="1">
      <c r="A1" s="1" t="inlineStr">
        <is>
          <t>Insurance</t>
        </is>
      </c>
      <c r="B1" s="1" t="inlineStr">
        <is>
          <t>Broker</t>
        </is>
      </c>
    </row>
    <row r="2" ht="13.8" customHeight="1">
      <c r="A2" s="1" t="inlineStr">
        <is>
          <t xml:space="preserve">Santam Aviation, </t>
        </is>
      </c>
      <c r="B2" s="2" t="inlineStr">
        <is>
          <t>Aerospace Underwriting Managers</t>
        </is>
      </c>
    </row>
    <row r="3">
      <c r="A3" s="1" t="inlineStr">
        <is>
          <t xml:space="preserve">Hollard/iTOO Special Risks, </t>
        </is>
      </c>
    </row>
    <row r="4">
      <c r="A4" s="1" t="inlineStr">
        <is>
          <t xml:space="preserve">Bryte Insurance, and </t>
        </is>
      </c>
    </row>
    <row r="5">
      <c r="A5" s="1" t="inlineStr">
        <is>
          <t>AIG South Africa</t>
        </is>
      </c>
    </row>
    <row r="6">
      <c r="A6" s="1" t="inlineStr">
        <is>
          <t xml:space="preserve">Azriel Aviation and </t>
        </is>
      </c>
    </row>
    <row r="7">
      <c r="A7" s="1" t="inlineStr">
        <is>
          <t xml:space="preserve">Osprey, </t>
        </is>
      </c>
    </row>
    <row r="8">
      <c r="A8" s="1" t="inlineStr">
        <is>
          <t xml:space="preserve">international carriers Global Aerospace and </t>
        </is>
      </c>
    </row>
    <row r="9" ht="13.8" customHeight="1">
      <c r="A9" s="1" t="inlineStr">
        <is>
          <t>Allianz Commercial that operate through Johannesburg brokers</t>
        </is>
      </c>
      <c r="B9" t="inlineStr">
        <is>
          <t>Compass Ins.</t>
        </is>
      </c>
    </row>
    <row r="10" ht="13.8" customHeight="1">
      <c r="A10" t="inlineStr">
        <is>
          <t>Global Aerospace</t>
        </is>
      </c>
    </row>
    <row r="11" ht="13.8" customHeight="1">
      <c r="A11" t="inlineStr">
        <is>
          <t>Chubb &amp; WTW</t>
        </is>
      </c>
    </row>
  </sheetData>
  <pageMargins left="0.7" right="0.7" top="0.75" bottom="0.75" header="0.3" footer="0.3"/>
  <pageSetup orientation="portrait" paperSize="9"/>
</worksheet>
</file>

<file path=xl/worksheets/sheet12.xml><?xml version="1.0" encoding="utf-8"?>
<worksheet xmlns="http://schemas.openxmlformats.org/spreadsheetml/2006/main">
  <sheetPr>
    <outlinePr summaryBelow="1" summaryRight="1"/>
    <pageSetUpPr/>
  </sheetPr>
  <dimension ref="A1:R49"/>
  <sheetViews>
    <sheetView zoomScaleNormal="100" workbookViewId="0">
      <selection activeCell="B68" sqref="B68"/>
    </sheetView>
    <sheetView tabSelected="1" topLeftCell="B1" workbookViewId="1">
      <selection activeCell="B4" sqref="B4:B5"/>
    </sheetView>
  </sheetViews>
  <sheetFormatPr baseColWidth="8" defaultColWidth="8.796875" defaultRowHeight="13.8"/>
  <cols>
    <col width="41.19921875" customWidth="1" min="1" max="1"/>
    <col width="50.296875" customWidth="1" min="2" max="2"/>
    <col width="36" bestFit="1" customWidth="1" min="3" max="3"/>
    <col width="32.19921875" customWidth="1" style="13" min="4" max="4"/>
    <col width="44.5" customWidth="1" min="5" max="5"/>
    <col width="37.796875" customWidth="1" min="6" max="6"/>
    <col width="18.296875" customWidth="1" min="8" max="8"/>
    <col width="16.69921875" bestFit="1" customWidth="1" min="11" max="11"/>
    <col width="21" bestFit="1" customWidth="1" min="12" max="12"/>
    <col width="13.796875" bestFit="1" customWidth="1" min="13" max="13"/>
  </cols>
  <sheetData>
    <row r="1">
      <c r="A1" s="91" t="inlineStr">
        <is>
          <t>School</t>
        </is>
      </c>
      <c r="B1" s="91" t="inlineStr">
        <is>
          <t>Contact person (role)</t>
        </is>
      </c>
      <c r="C1" s="91" t="inlineStr">
        <is>
          <t>Phone</t>
        </is>
      </c>
      <c r="D1" s="107" t="inlineStr">
        <is>
          <t>Email</t>
        </is>
      </c>
      <c r="E1" s="91" t="inlineStr">
        <is>
          <t>Addresses</t>
        </is>
      </c>
      <c r="F1" s="91" t="inlineStr">
        <is>
          <t>Planes</t>
        </is>
      </c>
      <c r="G1" s="91" t="inlineStr">
        <is>
          <t>Website</t>
        </is>
      </c>
      <c r="H1" s="91" t="inlineStr">
        <is>
          <t>Description type</t>
        </is>
      </c>
    </row>
    <row r="2" ht="27.6" customHeight="1">
      <c r="A2" s="104" t="inlineStr">
        <is>
          <t>Lanseria Flight Centre (TBD)</t>
        </is>
      </c>
      <c r="B2" s="102" t="inlineStr">
        <is>
          <t xml:space="preserve">Ian Dyson (Director); Mark Hardcastle (Chief Flight Instructor)  </t>
        </is>
      </c>
      <c r="C2" s="105" t="inlineStr">
        <is>
          <t xml:space="preserve">+27 11 312 5166  </t>
        </is>
      </c>
      <c r="D2" s="108" t="inlineStr">
        <is>
          <t>info@flylfc.com</t>
        </is>
      </c>
      <c r="H2" s="95" t="inlineStr">
        <is>
          <t>HELICOPTER OR LIGHT AIRCRAFT</t>
        </is>
      </c>
    </row>
    <row r="3" customFormat="1" s="111">
      <c r="A3" s="113" t="inlineStr">
        <is>
          <t>Aeronav Academy (Lanseria)</t>
        </is>
      </c>
      <c r="B3" s="114" t="inlineStr">
        <is>
          <t xml:space="preserve">Donald O’Connor (Managing Director)  </t>
        </is>
      </c>
      <c r="C3" s="115" t="inlineStr">
        <is>
          <t xml:space="preserve">+27 11 701 3862  </t>
        </is>
      </c>
      <c r="D3" s="116" t="inlineStr">
        <is>
          <t>info@aeronav.co.za</t>
        </is>
      </c>
      <c r="E3" s="191" t="inlineStr">
        <is>
          <t>Friday 03/10/2025 Reach Out</t>
        </is>
      </c>
    </row>
    <row r="4">
      <c r="A4" s="104" t="inlineStr">
        <is>
          <t>Skyhawk Aviation (Lanseria)</t>
        </is>
      </c>
      <c r="B4" s="102" t="inlineStr">
        <is>
          <t xml:space="preserve">Mohamed Lashin (Chief Flight Instructor)  </t>
        </is>
      </c>
      <c r="C4" s="105" t="inlineStr">
        <is>
          <t xml:space="preserve">+27 11 701 2622  </t>
        </is>
      </c>
      <c r="D4" s="108" t="inlineStr">
        <is>
          <t>info@skyhawk.co.za</t>
        </is>
      </c>
    </row>
    <row r="5">
      <c r="A5" s="104" t="inlineStr">
        <is>
          <t>Blue Chip Flight School (Wonderboom, PTA)</t>
        </is>
      </c>
      <c r="B5" s="102" t="inlineStr">
        <is>
          <t xml:space="preserve">Brendon Lubbe (Chief Flight Instructor)  </t>
        </is>
      </c>
      <c r="C5" s="105" t="inlineStr">
        <is>
          <t xml:space="preserve">+27 12 543 3050  </t>
        </is>
      </c>
      <c r="D5" s="108" t="inlineStr">
        <is>
          <t>marketing@bluechip-avia.co.za</t>
        </is>
      </c>
    </row>
    <row r="6" customFormat="1" s="111">
      <c r="A6" s="113" t="inlineStr">
        <is>
          <t>Eagle Air (Wonderboom, PTA)</t>
        </is>
      </c>
      <c r="B6" s="114" t="inlineStr">
        <is>
          <t>General contact</t>
        </is>
      </c>
      <c r="C6" s="114" t="inlineStr">
        <is>
          <t>Web form</t>
        </is>
      </c>
      <c r="D6" s="116" t="inlineStr">
        <is>
          <t>info@eagleair.co.za</t>
        </is>
      </c>
    </row>
    <row r="7" customFormat="1" s="121">
      <c r="A7" s="123" t="inlineStr">
        <is>
          <t>Superior Pilot Services (SPS, Grand Central)</t>
        </is>
      </c>
      <c r="B7" s="124" t="inlineStr">
        <is>
          <t>General contact</t>
        </is>
      </c>
      <c r="C7" s="125" t="inlineStr">
        <is>
          <t xml:space="preserve">+27 11 805 0605  </t>
        </is>
      </c>
      <c r="D7" s="126" t="inlineStr">
        <is>
          <t>info@superiorair.co.za</t>
        </is>
      </c>
    </row>
    <row r="8" customFormat="1" s="121">
      <c r="A8" s="123" t="inlineStr">
        <is>
          <t>Flight Training Services – FTS (Grand Central)</t>
        </is>
      </c>
      <c r="B8" s="124" t="inlineStr">
        <is>
          <t>General contact</t>
        </is>
      </c>
      <c r="C8" s="125" t="inlineStr">
        <is>
          <t xml:space="preserve">+27 11 805 9015 / 9016  </t>
        </is>
      </c>
      <c r="D8" s="126" t="inlineStr">
        <is>
          <t>fly@fts.co.za</t>
        </is>
      </c>
    </row>
    <row r="9" customFormat="1" s="111">
      <c r="A9" s="113" t="inlineStr">
        <is>
          <t>Central Flying Academy (Rand, Germiston)</t>
        </is>
      </c>
      <c r="B9" s="114" t="inlineStr">
        <is>
          <t xml:space="preserve">Erna Krebs (Chief Flight Instructor / Director)  </t>
        </is>
      </c>
      <c r="C9" s="115" t="inlineStr">
        <is>
          <t xml:space="preserve">+27 11 824 4421  </t>
        </is>
      </c>
      <c r="D9" s="116" t="inlineStr">
        <is>
          <t>info@cfasa.co.za</t>
        </is>
      </c>
    </row>
    <row r="10" ht="27.6" customFormat="1" customHeight="1" s="111">
      <c r="A10" s="118" t="inlineStr">
        <is>
          <t>Johannesburg School of Flying (Rand, Germiston)</t>
        </is>
      </c>
      <c r="B10" s="114" t="inlineStr">
        <is>
          <t xml:space="preserve">Siphiwe Richard Khoza (Chief Flight Instructor)  </t>
        </is>
      </c>
      <c r="C10" s="115" t="inlineStr">
        <is>
          <t xml:space="preserve">+27 11 827 9827 / 824 3990  </t>
        </is>
      </c>
      <c r="D10" s="116" t="inlineStr">
        <is>
          <t>info@jsf.co.za</t>
        </is>
      </c>
    </row>
    <row r="11">
      <c r="A11" s="97" t="inlineStr">
        <is>
          <t>U-Fly Training Academy (Rand, Germiston)</t>
        </is>
      </c>
      <c r="B11" s="92" t="inlineStr">
        <is>
          <t xml:space="preserve">Dr Robert Gobac (Chief Flying Instructor)  </t>
        </is>
      </c>
      <c r="C11" s="93" t="inlineStr">
        <is>
          <t xml:space="preserve">+27 11 824 0680  </t>
        </is>
      </c>
      <c r="D11" s="109" t="inlineStr">
        <is>
          <t>info@uflyacademy.co.za</t>
        </is>
      </c>
    </row>
    <row r="12">
      <c r="A12" s="97" t="inlineStr">
        <is>
          <t>Eagle1 Flight Academy (Rand, Germiston)</t>
        </is>
      </c>
      <c r="B12" s="92" t="inlineStr">
        <is>
          <t xml:space="preserve">DJ Lubbe (Chief Flight Instructor)  </t>
        </is>
      </c>
      <c r="C12" s="93" t="inlineStr">
        <is>
          <t xml:space="preserve">+27 11 824 1396; +27 79 448 8289  </t>
        </is>
      </c>
      <c r="D12" s="109" t="inlineStr">
        <is>
          <t>info@eagle1.co.za</t>
        </is>
      </c>
    </row>
    <row r="13" customFormat="1" s="121">
      <c r="A13" s="131" t="inlineStr">
        <is>
          <t>Airborne Aviation (Brakpan/Benoni)</t>
        </is>
      </c>
      <c r="B13" s="124" t="inlineStr">
        <is>
          <t xml:space="preserve">Seymour “Sluggy” Lugg (Chief Flying Instructor)  </t>
        </is>
      </c>
      <c r="C13" s="125" t="inlineStr">
        <is>
          <t xml:space="preserve">+27 74 113 2911  </t>
        </is>
      </c>
      <c r="D13" s="126" t="inlineStr">
        <is>
          <t>info@airborneaviation.co.za</t>
        </is>
      </c>
    </row>
    <row r="14" ht="27.6" customFormat="1" customHeight="1" s="121">
      <c r="A14" s="131" t="inlineStr">
        <is>
          <t>Johannesburg Flying Academy (Panorama, Alberton)</t>
        </is>
      </c>
      <c r="B14" s="124" t="inlineStr">
        <is>
          <t xml:space="preserve">Russell Best (Chief Flight Instructor)  </t>
        </is>
      </c>
      <c r="C14" s="125" t="inlineStr">
        <is>
          <t xml:space="preserve">+27 64 756 6356 (office); +27 65 969 8873 (Shamir Orrie)  </t>
        </is>
      </c>
      <c r="D14" s="126" t="inlineStr">
        <is>
          <t>info@jhbflying.co.za</t>
        </is>
      </c>
    </row>
    <row r="15">
      <c r="A15" s="98" t="inlineStr">
        <is>
          <t>Sun Quest Aviation (Rand, Germiston)</t>
        </is>
      </c>
      <c r="B15" s="92" t="inlineStr">
        <is>
          <t>General contact</t>
        </is>
      </c>
      <c r="C15" s="94" t="inlineStr">
        <is>
          <t xml:space="preserve">+27 81 309 3113 </t>
        </is>
      </c>
      <c r="D15" s="109" t="inlineStr">
        <is>
          <t>info@sqasa.co.za</t>
        </is>
      </c>
    </row>
    <row r="16" ht="27.6" customFormat="1" customHeight="1" s="121">
      <c r="A16" s="129" t="inlineStr">
        <is>
          <t>Mach1 Aviation Flight Academy (Springs Airfiled FASI)</t>
        </is>
      </c>
      <c r="B16" s="124" t="inlineStr">
        <is>
          <t>General contact</t>
        </is>
      </c>
      <c r="C16" s="130" t="inlineStr">
        <is>
          <t xml:space="preserve">+27 11 743 3012 </t>
        </is>
      </c>
      <c r="D16" s="126" t="inlineStr">
        <is>
          <t>info@mach1aviation.co.za</t>
        </is>
      </c>
    </row>
    <row r="17" ht="27.6" customHeight="1">
      <c r="A17" s="101" t="inlineStr">
        <is>
          <t>Aviatech FAPS Flight Academy (Potchefstroom Airfield FAPS)</t>
        </is>
      </c>
      <c r="B17" s="102" t="inlineStr">
        <is>
          <t>General contact</t>
        </is>
      </c>
      <c r="C17" s="103" t="inlineStr">
        <is>
          <t xml:space="preserve">+27 83 655 8921 </t>
        </is>
      </c>
      <c r="D17" s="108" t="inlineStr">
        <is>
          <t>info@aviatechfaps.co.za</t>
        </is>
      </c>
    </row>
    <row r="18" ht="27.6" customHeight="1">
      <c r="A18" s="106" t="inlineStr">
        <is>
          <t>Apex Flight Academy (Bucephalus Air) Klerksdorp (PC Pelser/FAKD)</t>
        </is>
      </c>
      <c r="B18" s="99" t="inlineStr">
        <is>
          <t>General contact</t>
        </is>
      </c>
      <c r="C18" s="100" t="inlineStr">
        <is>
          <t xml:space="preserve">+27 78 933 5672 </t>
        </is>
      </c>
      <c r="D18" s="110" t="inlineStr">
        <is>
          <t>apexacademy@bucephalus-air.co.za</t>
        </is>
      </c>
    </row>
    <row r="19" ht="28.2" customFormat="1" customHeight="1" s="136" thickBot="1">
      <c r="A19" s="132" t="inlineStr">
        <is>
          <t>Middelburg Aero Club – Flight School (i-Flight Aviation) Middelburg Airfield (FAMB)</t>
        </is>
      </c>
      <c r="B19" s="133" t="inlineStr">
        <is>
          <t>Francois Barnard</t>
        </is>
      </c>
      <c r="C19" s="134" t="inlineStr">
        <is>
          <t xml:space="preserve">+27 63 104 6163 </t>
        </is>
      </c>
      <c r="D19" s="135" t="inlineStr">
        <is>
          <t xml:space="preserve">info@i-flight.co.za </t>
        </is>
      </c>
      <c r="E19" s="136" t="n"/>
      <c r="F19" s="136" t="n"/>
      <c r="G19" s="136" t="n"/>
      <c r="H19" s="136" t="n"/>
    </row>
    <row r="20" customFormat="1" s="138">
      <c r="A20" s="138" t="inlineStr">
        <is>
          <t>AFOS Flight Training School</t>
        </is>
      </c>
      <c r="B20" s="138" t="inlineStr">
        <is>
          <t>Training Office</t>
        </is>
      </c>
      <c r="C20" s="138" t="inlineStr">
        <is>
          <t>+27 11 827 4125; +27 83 327 6333</t>
        </is>
      </c>
      <c r="D20" s="139" t="inlineStr">
        <is>
          <t>fly@afos.co.za; mark@afos.co.za</t>
        </is>
      </c>
      <c r="E20" s="138" t="inlineStr">
        <is>
          <t>Hangar 40, Lancaster Ave, Rand Airport 1419</t>
        </is>
      </c>
      <c r="F20" s="138" t="inlineStr">
        <is>
          <t>—</t>
        </is>
      </c>
      <c r="G20" s="138" t="inlineStr">
        <is>
          <t>http://www.afos.co.za</t>
        </is>
      </c>
      <c r="H20" s="138" t="inlineStr">
        <is>
          <t>Fixed-wing training at Rand Airport</t>
        </is>
      </c>
      <c r="I20" s="138" t="inlineStr">
        <is>
          <t>Fixed-wing</t>
        </is>
      </c>
    </row>
    <row r="21" customFormat="1" s="111">
      <c r="A21" s="111" t="inlineStr">
        <is>
          <t>Aeronav Academy</t>
        </is>
      </c>
      <c r="B21" s="111" t="inlineStr">
        <is>
          <t>Admissions Office</t>
        </is>
      </c>
      <c r="C21" s="111" t="inlineStr">
        <is>
          <t>+27 11 701 3862</t>
        </is>
      </c>
      <c r="D21" s="112" t="inlineStr">
        <is>
          <t>info@aeronav.co.za</t>
        </is>
      </c>
      <c r="E21" s="111" t="inlineStr">
        <is>
          <t>Gate 9A, Lanseria International Airport</t>
        </is>
      </c>
      <c r="F21" s="111" t="inlineStr">
        <is>
          <t>Diamond DA20; Cessna 172; Diamond DA42</t>
        </is>
      </c>
      <c r="G21" s="111" t="inlineStr">
        <is>
          <t>https://www.aeronav.co.za</t>
        </is>
      </c>
      <c r="H21" s="111" t="inlineStr">
        <is>
          <t>Lanseria ATO; single &amp; multi-engine training; FNPT II</t>
        </is>
      </c>
      <c r="I21" s="111" t="inlineStr">
        <is>
          <t>Fixed-wing</t>
        </is>
      </c>
    </row>
    <row r="22">
      <c r="A22" t="inlineStr">
        <is>
          <t>Bluebird Aerospace Flight School</t>
        </is>
      </c>
      <c r="B22" t="inlineStr">
        <is>
          <t>Training Office</t>
        </is>
      </c>
      <c r="C22" t="inlineStr">
        <is>
          <t>+27 71 480 4513</t>
        </is>
      </c>
      <c r="D22" s="109" t="inlineStr">
        <is>
          <t>info@bluebirdaerospace.com</t>
        </is>
      </c>
      <c r="E22" t="inlineStr">
        <is>
          <t>Vereeniging Airport (FAVV), 121 Citation Rd, Aeroval</t>
        </is>
      </c>
      <c r="F22" t="inlineStr">
        <is>
          <t>Cessna 150; Cessna 172; Piper Cherokee</t>
        </is>
      </c>
      <c r="G22" t="inlineStr">
        <is>
          <t>https://bluebirdaerospace.com/</t>
        </is>
      </c>
      <c r="H22" t="inlineStr">
        <is>
          <t>Fixed-wing flight school at Vereeniging</t>
        </is>
      </c>
      <c r="I22" t="inlineStr">
        <is>
          <t>Fixed-wing</t>
        </is>
      </c>
    </row>
    <row r="23" customFormat="1" s="111">
      <c r="A23" s="111" t="inlineStr">
        <is>
          <t>Central Flying Academy (CFA)</t>
        </is>
      </c>
      <c r="B23" s="111" t="inlineStr">
        <is>
          <t>Erna Krebs (Chief Flight Instructor)</t>
        </is>
      </c>
      <c r="C23" s="111" t="inlineStr">
        <is>
          <t>+27 11 824 4421</t>
        </is>
      </c>
      <c r="D23" s="112" t="inlineStr">
        <is>
          <t>info@cfasa.co.za</t>
        </is>
      </c>
      <c r="E23" s="111" t="inlineStr">
        <is>
          <t>Hangar 28, Hurricane Rd, Rand Airport, Germiston 1401</t>
        </is>
      </c>
      <c r="F23" s="111" t="inlineStr">
        <is>
          <t>Cessna 172; Cessna 172RG; Piper PA-30 Twin Comanche</t>
        </is>
      </c>
      <c r="G23" s="111" t="inlineStr">
        <is>
          <t>https://www.cfasa.co.za</t>
        </is>
      </c>
      <c r="H23" s="111" t="inlineStr">
        <is>
          <t>Fixed-wing ATO at Rand Airport; PPL→CPL/IF; FNPT II available</t>
        </is>
      </c>
      <c r="I23" s="111" t="inlineStr">
        <is>
          <t>Fixed-wing</t>
        </is>
      </c>
    </row>
    <row r="24" customFormat="1" s="111">
      <c r="A24" s="111" t="inlineStr">
        <is>
          <t>Eagle1 Flight Academy</t>
        </is>
      </c>
      <c r="B24" s="111" t="inlineStr">
        <is>
          <t>Training Office</t>
        </is>
      </c>
      <c r="C24" s="111" t="inlineStr">
        <is>
          <t>+27 11 824 1396; +27 79 448 8289</t>
        </is>
      </c>
      <c r="D24" s="112" t="inlineStr">
        <is>
          <t>info@eagle1.co.za</t>
        </is>
      </c>
      <c r="E24" s="111" t="inlineStr">
        <is>
          <t>Hangar 20, Rand Airport, Germiston 1401</t>
        </is>
      </c>
      <c r="F24" s="111" t="inlineStr">
        <is>
          <t>—</t>
        </is>
      </c>
      <c r="G24" s="111" t="inlineStr">
        <is>
          <t>https://www.eagle1.co.za</t>
        </is>
      </c>
      <c r="H24" s="111" t="inlineStr">
        <is>
          <t>Fixed-wing flight school at Rand Airport</t>
        </is>
      </c>
      <c r="I24" s="111" t="inlineStr">
        <is>
          <t>Fixed-wing</t>
        </is>
      </c>
    </row>
    <row r="25" customFormat="1" s="140">
      <c r="A25" s="140" t="inlineStr">
        <is>
          <t>Helivate Helicopter Services</t>
        </is>
      </c>
      <c r="B25" s="140" t="inlineStr">
        <is>
          <t>Training Team</t>
        </is>
      </c>
      <c r="C25" s="140" t="inlineStr">
        <is>
          <t>+27 60 969 3317; +27 72 219 3264; +27 84 583 1569</t>
        </is>
      </c>
      <c r="D25" s="143" t="inlineStr">
        <is>
          <t>info@helivate.com</t>
        </is>
      </c>
      <c r="E25" s="144" t="inlineStr">
        <is>
          <t>Jack Taylor Airport, Barta Street, Krugersdorp</t>
        </is>
      </c>
      <c r="F25" s="140" t="inlineStr">
        <is>
          <t>Robinson R44; Robinson R66; Alouette III</t>
        </is>
      </c>
      <c r="G25" s="140" t="inlineStr">
        <is>
          <t>https://www.helivate.com/</t>
        </is>
      </c>
      <c r="H25" s="140" t="inlineStr">
        <is>
          <t>Helicopter pilot training; Gauteng base at Krugersdorp</t>
        </is>
      </c>
      <c r="I25" s="140" t="inlineStr">
        <is>
          <t>Helicopter</t>
        </is>
      </c>
      <c r="K25" s="142" t="inlineStr">
        <is>
          <t>paul@helivate.com</t>
        </is>
      </c>
      <c r="L25" s="142" t="inlineStr">
        <is>
          <t>paul@statusmark.co.za</t>
        </is>
      </c>
      <c r="M25" s="140" t="inlineStr">
        <is>
          <t xml:space="preserve">Paul Cumming </t>
        </is>
      </c>
    </row>
    <row r="26" customFormat="1" s="119">
      <c r="A26" s="119" t="inlineStr">
        <is>
          <t>Henley Air Flight Training</t>
        </is>
      </c>
      <c r="B26" s="119" t="inlineStr">
        <is>
          <t>Flight School Office</t>
        </is>
      </c>
      <c r="C26" s="119" t="inlineStr">
        <is>
          <t>+27 11 827 5503</t>
        </is>
      </c>
      <c r="D26" s="120" t="inlineStr">
        <is>
          <t>flightschool@henleyair.co.za</t>
        </is>
      </c>
      <c r="E26" s="119" t="inlineStr">
        <is>
          <t>Hangar 6, Rand Airport, Germiston 1419</t>
        </is>
      </c>
      <c r="F26" s="119" t="inlineStr">
        <is>
          <t>Robinson R44; Bell 206 JetRanger; Bell 407</t>
        </is>
      </c>
      <c r="G26" s="119" t="inlineStr">
        <is>
          <t>https://www.henleyairflighttraining.co.za/</t>
        </is>
      </c>
      <c r="H26" s="119" t="inlineStr">
        <is>
          <t>Helicopter pilot training (PPL→ATPL) at Rand</t>
        </is>
      </c>
      <c r="I26" s="119" t="inlineStr">
        <is>
          <t>Helicopter</t>
        </is>
      </c>
    </row>
    <row r="27" customFormat="1" s="140">
      <c r="A27" s="140" t="inlineStr">
        <is>
          <t>Hover Dynamics</t>
        </is>
      </c>
      <c r="B27" s="140" t="inlineStr">
        <is>
          <t>Andre Snyman (Head of Training)</t>
        </is>
      </c>
      <c r="C27" s="140" t="inlineStr">
        <is>
          <t>+27 11 315 1834</t>
        </is>
      </c>
      <c r="D27" s="141" t="inlineStr">
        <is>
          <t>reception@hoverdynamics.co.za</t>
        </is>
      </c>
      <c r="E27" s="140" t="inlineStr">
        <is>
          <t>Grand Central Airport Terminal Building, New Road, Midrand</t>
        </is>
      </c>
      <c r="F27" s="140" t="inlineStr">
        <is>
          <t>Robinson R22; Robinson R44; Robinson R66</t>
        </is>
      </c>
      <c r="G27" s="140" t="inlineStr">
        <is>
          <t>https://hoverdynamics.co.za/</t>
        </is>
      </c>
      <c r="H27" s="140" t="inlineStr">
        <is>
          <t>Helicopter pilot training at Grand Central</t>
        </is>
      </c>
      <c r="I27" s="140" t="inlineStr">
        <is>
          <t>Helicopter</t>
        </is>
      </c>
      <c r="K27" s="142" t="inlineStr">
        <is>
          <t>hdm@hoverdynamics.co.za</t>
        </is>
      </c>
      <c r="L27" s="142" t="inlineStr">
        <is>
          <t>ame@hoverdynamics.co.za</t>
        </is>
      </c>
      <c r="M27" s="140" t="inlineStr">
        <is>
          <t>DEAN</t>
        </is>
      </c>
      <c r="N27" s="140" t="inlineStr">
        <is>
          <t>FELDMAN</t>
        </is>
      </c>
      <c r="O27" s="142" t="inlineStr">
        <is>
          <t>dean@hoverdynamics.co.za</t>
        </is>
      </c>
    </row>
    <row r="28" customFormat="1" s="111">
      <c r="A28" s="111" t="inlineStr">
        <is>
          <t>Johannesburg School of Flying (JSF)</t>
        </is>
      </c>
      <c r="B28" s="111" t="inlineStr">
        <is>
          <t>Training Office</t>
        </is>
      </c>
      <c r="C28" s="111" t="inlineStr">
        <is>
          <t>+27 11 827 9827; +27 11 824 3990</t>
        </is>
      </c>
      <c r="D28" s="112" t="inlineStr">
        <is>
          <t>info@jsf.co.za</t>
        </is>
      </c>
      <c r="E28" s="111" t="inlineStr">
        <is>
          <t>Hangars 30–33, Rand Airport, Germiston 1401</t>
        </is>
      </c>
      <c r="F28" s="111" t="inlineStr">
        <is>
          <t>Cessna 152; Cessna 172; Piper PA-34 Seneca II</t>
        </is>
      </c>
      <c r="G28" s="111" t="inlineStr">
        <is>
          <t>https://jsf.co.za</t>
        </is>
      </c>
      <c r="H28" s="111" t="inlineStr">
        <is>
          <t>Fixed-wing training at Rand Airport; multi-engine available</t>
        </is>
      </c>
      <c r="I28" s="111" t="inlineStr">
        <is>
          <t>Fixed-wing</t>
        </is>
      </c>
    </row>
    <row r="29" customFormat="1" s="111">
      <c r="A29" s="111" t="inlineStr">
        <is>
          <t>Lanseria Flight Centre (LFC)</t>
        </is>
      </c>
      <c r="B29" s="111" t="inlineStr">
        <is>
          <t>Ian Dyson (Director)</t>
        </is>
      </c>
      <c r="C29" s="111" t="inlineStr">
        <is>
          <t>+27 11 312 5166; +27 60 829 0953</t>
        </is>
      </c>
      <c r="D29" s="112" t="inlineStr">
        <is>
          <t>info@flylfc.com</t>
        </is>
      </c>
      <c r="E29" s="111" t="inlineStr">
        <is>
          <t>Terminal Building, Office Suite 25B, Grand Central Airport, Midrand</t>
        </is>
      </c>
      <c r="F29" s="111" t="inlineStr">
        <is>
          <t>Cessna 172; Diamond DA42; Piper PA-34 Seneca</t>
        </is>
      </c>
      <c r="G29" s="111" t="inlineStr">
        <is>
          <t>https://www.flylfc.com</t>
        </is>
      </c>
      <c r="H29" s="111" t="inlineStr">
        <is>
          <t>Fixed-wing training at Grand Central; integrated &amp; modular</t>
        </is>
      </c>
      <c r="I29" s="111" t="inlineStr">
        <is>
          <t>Fixed-wing</t>
        </is>
      </c>
    </row>
    <row r="30" customFormat="1" s="119">
      <c r="A30" s="119" t="inlineStr">
        <is>
          <t>NAC Helicopter Flight Training (National Airways Corporation)</t>
        </is>
      </c>
      <c r="B30" s="119" t="inlineStr">
        <is>
          <t>Vicky Sankey (Training/Exams)</t>
        </is>
      </c>
      <c r="C30" s="119" t="inlineStr">
        <is>
          <t>+27 11 345 2500</t>
        </is>
      </c>
      <c r="D30" s="120" t="inlineStr">
        <is>
          <t>flightschool@nac.co.za; info@nac.co.za</t>
        </is>
      </c>
      <c r="E30" s="119" t="inlineStr">
        <is>
          <t>Rand Airport, Germiston (Training) &amp; Ultimate Heliport, Midrand</t>
        </is>
      </c>
      <c r="F30" s="119" t="inlineStr">
        <is>
          <t>Robinson R22; Robinson R44; Bell 206/407</t>
        </is>
      </c>
      <c r="G30" s="119" t="inlineStr">
        <is>
          <t>https://www.nac.co.za/helicopter-pilot-training</t>
        </is>
      </c>
      <c r="H30" s="119" t="inlineStr">
        <is>
          <t>Helicopter flight training (NAC)</t>
        </is>
      </c>
      <c r="I30" s="119" t="inlineStr">
        <is>
          <t>Helicopter</t>
        </is>
      </c>
    </row>
    <row r="31" customFormat="1" s="119">
      <c r="A31" s="119" t="inlineStr">
        <is>
          <t>Phoebus Apollo Aviation (Flight School)</t>
        </is>
      </c>
      <c r="B31" s="119" t="inlineStr">
        <is>
          <t>Flight School Office</t>
        </is>
      </c>
      <c r="C31" s="119" t="inlineStr">
        <is>
          <t>+27 11 824 3814</t>
        </is>
      </c>
      <c r="D31" s="120" t="inlineStr">
        <is>
          <t>flightschool@phoebusapollo.co.za</t>
        </is>
      </c>
      <c r="E31" s="119" t="inlineStr">
        <is>
          <t>Hangars 17 &amp; 21, Rand Airport, Germiston 1401</t>
        </is>
      </c>
      <c r="F31" s="119" t="inlineStr">
        <is>
          <t>Cessna 152; Cessna 172/172RG; Piper PA-34 Seneca I</t>
        </is>
      </c>
      <c r="G31" s="119" t="inlineStr">
        <is>
          <t>https://www.phoebusapollo.co.za</t>
        </is>
      </c>
      <c r="H31" s="119" t="inlineStr">
        <is>
          <t>Fixed-wing training and charter</t>
        </is>
      </c>
      <c r="I31" s="119" t="inlineStr">
        <is>
          <t>Fixed-wing</t>
        </is>
      </c>
    </row>
    <row r="32" customFormat="1" s="121">
      <c r="A32" s="121" t="inlineStr">
        <is>
          <t>Skyhawk Aviation</t>
        </is>
      </c>
      <c r="B32" s="121" t="inlineStr">
        <is>
          <t>Training Office</t>
        </is>
      </c>
      <c r="C32" s="121" t="inlineStr">
        <is>
          <t>+27 11 701 2622</t>
        </is>
      </c>
      <c r="D32" s="122" t="inlineStr">
        <is>
          <t>info@skyhawk.co.za</t>
        </is>
      </c>
      <c r="E32" s="121" t="inlineStr">
        <is>
          <t>Hangar 30, Gate 5, Lanseria International Airport</t>
        </is>
      </c>
      <c r="F32" s="121" t="inlineStr">
        <is>
          <t>Cessna 172; Piper PA-28; Piper PA-34 Seneca</t>
        </is>
      </c>
      <c r="G32" s="121" t="inlineStr">
        <is>
          <t>https://skyhawk.co.za</t>
        </is>
      </c>
      <c r="H32" s="121" t="inlineStr">
        <is>
          <t>Fixed-wing training; career pilot programmes</t>
        </is>
      </c>
      <c r="I32" s="121" t="inlineStr">
        <is>
          <t>Fixed-wing</t>
        </is>
      </c>
    </row>
    <row r="33" customFormat="1" s="121">
      <c r="A33" s="121" t="inlineStr">
        <is>
          <t>Sun Quest Aviation (SQA)</t>
        </is>
      </c>
      <c r="B33" s="121" t="inlineStr">
        <is>
          <t>Ops/Enquiries</t>
        </is>
      </c>
      <c r="C33" s="121" t="inlineStr">
        <is>
          <t>+27 81 309 3113; +27 11 827 9308</t>
        </is>
      </c>
      <c r="D33" s="122" t="inlineStr">
        <is>
          <t>info@sqasa.co.za</t>
        </is>
      </c>
      <c r="E33" s="121" t="inlineStr">
        <is>
          <t>Hangar 4, Rand Airport, Germiston 1401</t>
        </is>
      </c>
      <c r="F33" s="121" t="inlineStr">
        <is>
          <t>—</t>
        </is>
      </c>
      <c r="G33" s="121" t="inlineStr">
        <is>
          <t>https://sqasa.co.za/</t>
        </is>
      </c>
      <c r="H33" s="121" t="inlineStr">
        <is>
          <t>Fixed-wing ATO at Rand Airport</t>
        </is>
      </c>
      <c r="I33" s="121" t="inlineStr">
        <is>
          <t>Fixed-wing</t>
        </is>
      </c>
    </row>
    <row r="34" customFormat="1" s="121">
      <c r="A34" s="121" t="inlineStr">
        <is>
          <t>U-Fly Training Academy</t>
        </is>
      </c>
      <c r="B34" s="121" t="inlineStr">
        <is>
          <t>Training Office</t>
        </is>
      </c>
      <c r="C34" s="121" t="inlineStr">
        <is>
          <t>+27 11 824 0680; +27 11 027 7655</t>
        </is>
      </c>
      <c r="D34" s="122" t="inlineStr">
        <is>
          <t>info@uflyacademy.co.za</t>
        </is>
      </c>
      <c r="E34" s="121" t="inlineStr">
        <is>
          <t>1 Spitfire Crescent, Rand Airport, Germiston</t>
        </is>
      </c>
      <c r="F34" s="121" t="inlineStr">
        <is>
          <t>Piper PA-28 Warrior; Piper PA-28R Arrow; Piper PA-34 Seneca</t>
        </is>
      </c>
      <c r="G34" s="121" t="inlineStr">
        <is>
          <t>https://www.uflyacademy.co.za</t>
        </is>
      </c>
      <c r="H34" s="121" t="inlineStr">
        <is>
          <t>Fixed-wing training and hire-&amp;-fly; PPL→ATPL pathway</t>
        </is>
      </c>
      <c r="I34" s="121" t="inlineStr">
        <is>
          <t>Fixed-wing</t>
        </is>
      </c>
    </row>
    <row r="35" customFormat="1" s="121">
      <c r="A35" s="121" t="inlineStr">
        <is>
          <t>Superior Pilot Services (SPS)</t>
        </is>
      </c>
      <c r="B35" s="121" t="inlineStr">
        <is>
          <t>Training Office</t>
        </is>
      </c>
      <c r="C35" s="121" t="inlineStr">
        <is>
          <t>+27 11 805 0605</t>
        </is>
      </c>
      <c r="D35" s="122" t="inlineStr">
        <is>
          <t>info@superiorair.co.za</t>
        </is>
      </c>
      <c r="E35" s="121" t="inlineStr">
        <is>
          <t>Grand Central Airport (FAGC), Midrand, Gauteng</t>
        </is>
      </c>
      <c r="F35" s="121" t="inlineStr">
        <is>
          <t>Cessna 172</t>
        </is>
      </c>
      <c r="G35" s="121" t="inlineStr">
        <is>
          <t>https://www.superiorpilotservices.com</t>
        </is>
      </c>
      <c r="H35" s="121" t="inlineStr">
        <is>
          <t>Fixed-wing ATO at Grand Central; PPL, Night, CPL etc.</t>
        </is>
      </c>
      <c r="I35" s="121" t="inlineStr">
        <is>
          <t>Fixed-wing</t>
        </is>
      </c>
    </row>
    <row r="36" customFormat="1" s="121">
      <c r="A36" s="121" t="inlineStr">
        <is>
          <t>Flight Training Services (FTS)</t>
        </is>
      </c>
      <c r="B36" s="121" t="inlineStr">
        <is>
          <t>Training Office</t>
        </is>
      </c>
      <c r="C36" s="121" t="inlineStr">
        <is>
          <t>+27 11 805 9015</t>
        </is>
      </c>
      <c r="D36" s="122" t="inlineStr">
        <is>
          <t>fly@fts.co.za</t>
        </is>
      </c>
      <c r="E36" s="121" t="inlineStr">
        <is>
          <t>Grand Central Airport (FAGC), Midrand, Gauteng</t>
        </is>
      </c>
      <c r="F36" s="121" t="inlineStr">
        <is>
          <t>Cessna 172</t>
        </is>
      </c>
      <c r="G36" s="121" t="inlineStr">
        <is>
          <t>https://www.fts.co.za</t>
        </is>
      </c>
      <c r="H36" s="121" t="inlineStr">
        <is>
          <t>Fixed-wing ATO; PPL through CPL/IR; based at Grand Central.</t>
        </is>
      </c>
      <c r="I36" s="121" t="inlineStr">
        <is>
          <t>Fixed-wing</t>
        </is>
      </c>
    </row>
    <row r="37" customFormat="1" s="121">
      <c r="A37" s="121" t="inlineStr">
        <is>
          <t>Blue Chip Flight School</t>
        </is>
      </c>
      <c r="B37" s="121" t="inlineStr">
        <is>
          <t>Training Office</t>
        </is>
      </c>
      <c r="C37" s="121" t="inlineStr">
        <is>
          <t>+27 12 543 3050</t>
        </is>
      </c>
      <c r="D37" s="122" t="inlineStr">
        <is>
          <t>marketing@bluechip-avia.co.za</t>
        </is>
      </c>
      <c r="E37" s="121" t="inlineStr">
        <is>
          <t>Main Terminal Building, Wonderboom National Airport (FAWB), Pretoria</t>
        </is>
      </c>
      <c r="F37" s="121" t="inlineStr">
        <is>
          <t>Cessna 172</t>
        </is>
      </c>
      <c r="G37" s="121" t="inlineStr">
        <is>
          <t>https://bluechipflightschool.co.za</t>
        </is>
      </c>
      <c r="H37" s="121" t="inlineStr">
        <is>
          <t>Large Wonderboom-based ATO offering PPL → CPL/IR.</t>
        </is>
      </c>
      <c r="I37" s="121" t="inlineStr">
        <is>
          <t>Fixed-wing</t>
        </is>
      </c>
    </row>
    <row r="38" customFormat="1" s="121">
      <c r="A38" s="121" t="inlineStr">
        <is>
          <t>Eagle Air Flight School</t>
        </is>
      </c>
      <c r="B38" s="121" t="inlineStr">
        <is>
          <t>Training Office</t>
        </is>
      </c>
      <c r="C38" s="121" t="inlineStr">
        <is>
          <t>+27 12 543 1929</t>
        </is>
      </c>
      <c r="D38" s="122" t="inlineStr">
        <is>
          <t>info@eagleair.co.za</t>
        </is>
      </c>
      <c r="E38" s="121" t="inlineStr">
        <is>
          <t>Wonderboom National Airport (FAWB), Pretoria</t>
        </is>
      </c>
      <c r="F38" s="121" t="inlineStr">
        <is>
          <t>Cessna 172; Piper PA-28; Beechcraft Baron</t>
        </is>
      </c>
      <c r="G38" s="121" t="inlineStr">
        <is>
          <t>https://eagleair.co.za</t>
        </is>
      </c>
      <c r="H38" s="121" t="inlineStr">
        <is>
          <t>Comprehensive fixed-wing training at Wonderboom.</t>
        </is>
      </c>
      <c r="I38" s="121" t="inlineStr">
        <is>
          <t>Fixed-wing</t>
        </is>
      </c>
    </row>
    <row r="39" customFormat="1" s="119">
      <c r="A39" s="119" t="inlineStr">
        <is>
          <t>Loutzavia Flight Training Academy</t>
        </is>
      </c>
      <c r="B39" s="119" t="inlineStr">
        <is>
          <t>Training Office</t>
        </is>
      </c>
      <c r="C39" s="119" t="inlineStr">
        <is>
          <t>+27 12 543 1620</t>
        </is>
      </c>
      <c r="D39" s="120" t="inlineStr">
        <is>
          <t>info@loutzavia.co.za</t>
        </is>
      </c>
      <c r="E39" s="119" t="inlineStr">
        <is>
          <t>Wonderboom National Airport (FAWB), Pretoria</t>
        </is>
      </c>
      <c r="F39" s="119" t="inlineStr">
        <is>
          <t>(not publicly listed on site)</t>
        </is>
      </c>
      <c r="G39" s="119" t="inlineStr">
        <is>
          <t>https://loutzavia.com</t>
        </is>
      </c>
      <c r="H39" s="119" t="inlineStr">
        <is>
          <t>Fixed-wing ATO; PPL → advanced ratings at Wonderboom.</t>
        </is>
      </c>
      <c r="I39" s="119" t="inlineStr">
        <is>
          <t>Fixed-wing</t>
        </is>
      </c>
    </row>
    <row r="40">
      <c r="A40" t="inlineStr">
        <is>
          <t>Learn2Fly (L2F)</t>
        </is>
      </c>
      <c r="B40" t="inlineStr">
        <is>
          <t>Training Office</t>
        </is>
      </c>
      <c r="C40" t="inlineStr">
        <is>
          <t>+27 12 567 5124</t>
        </is>
      </c>
      <c r="D40" s="109" t="inlineStr">
        <is>
          <t>info@learn2fly.co.za</t>
        </is>
      </c>
      <c r="E40" t="inlineStr">
        <is>
          <t>Wonderboom National Airport (FAWB), Pretoria</t>
        </is>
      </c>
      <c r="F40" t="inlineStr">
        <is>
          <t>(not publicly listed on site)</t>
        </is>
      </c>
      <c r="G40" t="inlineStr">
        <is>
          <t>https://learn2fly.co.za</t>
        </is>
      </c>
      <c r="H40" t="inlineStr">
        <is>
          <t>Fixed-wing ATO; PPL and onward training.</t>
        </is>
      </c>
      <c r="I40" t="inlineStr">
        <is>
          <t>Fixed-wing</t>
        </is>
      </c>
    </row>
    <row r="41">
      <c r="A41" t="inlineStr">
        <is>
          <t>Professional Flight Centre (PFC)</t>
        </is>
      </c>
      <c r="B41" t="inlineStr">
        <is>
          <t>Training Office</t>
        </is>
      </c>
      <c r="C41" t="inlineStr">
        <is>
          <t>+27 12 567 0575</t>
        </is>
      </c>
      <c r="D41" s="109" t="inlineStr">
        <is>
          <t>pfc1161@gmail.com</t>
        </is>
      </c>
      <c r="E41" t="inlineStr">
        <is>
          <t>Wonderboom National Airport (FAWB), Pretoria</t>
        </is>
      </c>
      <c r="F41" t="inlineStr">
        <is>
          <t>Cessna 172</t>
        </is>
      </c>
      <c r="G41" t="inlineStr">
        <is>
          <t>https://www.professionalflightcentre.co.za</t>
        </is>
      </c>
      <c r="H41" t="inlineStr">
        <is>
          <t>Fixed-wing ATO at Wonderboom; PPL, Night, CPL.</t>
        </is>
      </c>
      <c r="I41" t="inlineStr">
        <is>
          <t>Fixed-wing</t>
        </is>
      </c>
    </row>
    <row r="42" customFormat="1" s="140">
      <c r="A42" s="140" t="inlineStr">
        <is>
          <t>Flyfofa Aviation &amp; Training</t>
        </is>
      </c>
      <c r="B42" s="140" t="inlineStr">
        <is>
          <t>Training Office</t>
        </is>
      </c>
      <c r="C42" s="140" t="inlineStr">
        <is>
          <t>+27 12 543 5798</t>
        </is>
      </c>
      <c r="D42" s="143" t="inlineStr">
        <is>
          <t>info@flyfofa.co.za</t>
        </is>
      </c>
      <c r="E42" s="140" t="inlineStr">
        <is>
          <t>Wonderboom National Airport (FAWB), Pretoria</t>
        </is>
      </c>
      <c r="F42" s="140" t="inlineStr">
        <is>
          <t>(not publicly listed on site)</t>
        </is>
      </c>
      <c r="G42" s="140" t="inlineStr">
        <is>
          <t>https://flyfofa.co.za</t>
        </is>
      </c>
      <c r="H42" s="140" t="inlineStr">
        <is>
          <t>Fixed-wing ATO at Wonderboom; ab-initio and advanced.</t>
        </is>
      </c>
      <c r="I42" s="140" t="inlineStr">
        <is>
          <t>Fixed-wing</t>
        </is>
      </c>
      <c r="K42" s="140" t="inlineStr">
        <is>
          <t>BRUCE</t>
        </is>
      </c>
      <c r="L42" s="140" t="inlineStr">
        <is>
          <t>FISHA</t>
        </is>
      </c>
      <c r="M42" s="142" t="inlineStr">
        <is>
          <t>fisha@flyfofa.co.za</t>
        </is>
      </c>
      <c r="N42" s="142" t="inlineStr">
        <is>
          <t>bfisha@flyfofa.co.za</t>
        </is>
      </c>
      <c r="O42" s="142" t="inlineStr">
        <is>
          <t>reception@flyfofa.co.za</t>
        </is>
      </c>
      <c r="R42" s="140" t="inlineStr">
        <is>
          <t>Website: https://www.flyfofa.co.za</t>
        </is>
      </c>
    </row>
    <row r="43" customFormat="1" s="121">
      <c r="A43" s="121" t="inlineStr">
        <is>
          <t>Airborne Aviation (Brakpan)</t>
        </is>
      </c>
      <c r="B43" s="121" t="inlineStr">
        <is>
          <t>Training Office</t>
        </is>
      </c>
      <c r="C43" s="121" t="inlineStr">
        <is>
          <t>+27 76 564 2722</t>
        </is>
      </c>
      <c r="D43" s="122" t="inlineStr">
        <is>
          <t>info@airborne-aviation.co.za</t>
        </is>
      </c>
      <c r="E43" s="121" t="inlineStr">
        <is>
          <t>Brakpan/Benoni Airfield (FABB), Gauteng</t>
        </is>
      </c>
      <c r="F43" s="121" t="inlineStr">
        <is>
          <t>Cessna 172; Cessna 182; Piper Seneca</t>
        </is>
      </c>
      <c r="G43" s="121" t="inlineStr">
        <is>
          <t>https://airborne-aviation.co.za</t>
        </is>
      </c>
      <c r="H43" s="121" t="inlineStr">
        <is>
          <t>Fixed-wing ATO at Brakpan/Benoni; PPL → CPL/ME.</t>
        </is>
      </c>
      <c r="I43" s="121" t="inlineStr">
        <is>
          <t>Fixed-wing</t>
        </is>
      </c>
    </row>
    <row r="44" customFormat="1" s="121">
      <c r="A44" s="121" t="inlineStr">
        <is>
          <t>Mach1 Aviation Flight Academy</t>
        </is>
      </c>
      <c r="B44" s="121" t="inlineStr">
        <is>
          <t>Training Office</t>
        </is>
      </c>
      <c r="C44" s="121" t="inlineStr">
        <is>
          <t>+27 11 743 3305</t>
        </is>
      </c>
      <c r="D44" s="122" t="inlineStr">
        <is>
          <t>info@mach1aviation.co.za</t>
        </is>
      </c>
      <c r="E44" s="121" t="inlineStr">
        <is>
          <t>Springs Airfield (FASI), Springs, Gauteng</t>
        </is>
      </c>
      <c r="F44" s="121" t="inlineStr">
        <is>
          <t>(not publicly listed on site)</t>
        </is>
      </c>
      <c r="G44" s="121" t="inlineStr">
        <is>
          <t>https://www.mach1aviation.co.za</t>
        </is>
      </c>
      <c r="H44" s="121" t="inlineStr">
        <is>
          <t>Fixed-wing ATO at Springs; PPL → CPL with on-site lodging.</t>
        </is>
      </c>
      <c r="I44" s="121" t="inlineStr">
        <is>
          <t>Fixed-wing</t>
        </is>
      </c>
    </row>
    <row r="45" customFormat="1" s="121">
      <c r="A45" s="121" t="inlineStr">
        <is>
          <t>Aviatech FAPS Flight Academy</t>
        </is>
      </c>
      <c r="B45" s="121" t="inlineStr">
        <is>
          <t>Training Office</t>
        </is>
      </c>
      <c r="C45" s="121" t="inlineStr">
        <is>
          <t>+27 83 235 8043</t>
        </is>
      </c>
      <c r="D45" s="122" t="inlineStr">
        <is>
          <t>info@fapsflightacademy.co.za</t>
        </is>
      </c>
      <c r="E45" s="121" t="inlineStr">
        <is>
          <t>Potchefstroom Airfield (FAPS), North West</t>
        </is>
      </c>
      <c r="F45" s="121" t="inlineStr">
        <is>
          <t>(not publicly listed on site)</t>
        </is>
      </c>
      <c r="G45" s="121" t="inlineStr">
        <is>
          <t>https://fapsflightacademy.co.za</t>
        </is>
      </c>
      <c r="H45" s="121" t="inlineStr">
        <is>
          <t>Fixed-wing ATO at Potchefstroom; PPL and advanced.</t>
        </is>
      </c>
      <c r="I45" s="121" t="inlineStr">
        <is>
          <t>Fixed-wing</t>
        </is>
      </c>
    </row>
    <row r="46" customFormat="1" s="121">
      <c r="A46" s="121" t="inlineStr">
        <is>
          <t>Apex Flight Academy (Bucephalus Air)</t>
        </is>
      </c>
      <c r="B46" s="121" t="inlineStr">
        <is>
          <t>Training Office</t>
        </is>
      </c>
      <c r="C46" s="121" t="inlineStr">
        <is>
          <t>+27 76 692 7352</t>
        </is>
      </c>
      <c r="D46" s="122" t="inlineStr">
        <is>
          <t>info@bucephalusair.co.za</t>
        </is>
      </c>
      <c r="E46" s="121" t="inlineStr">
        <is>
          <t>Klerksdorp Airfield (FAKD), North West</t>
        </is>
      </c>
      <c r="F46" s="121" t="inlineStr">
        <is>
          <t>(not publicly listed on site)</t>
        </is>
      </c>
      <c r="G46" s="121" t="inlineStr">
        <is>
          <t>https://bucephalusair.co.za</t>
        </is>
      </c>
      <c r="H46" s="121" t="inlineStr">
        <is>
          <t>Fixed-wing ATO at Klerksdorp; ab-initio to advanced.</t>
        </is>
      </c>
      <c r="I46" s="121" t="inlineStr">
        <is>
          <t>Fixed-wing</t>
        </is>
      </c>
    </row>
    <row r="47">
      <c r="A47" t="inlineStr">
        <is>
          <t>Witbank Aeronautical Association Flight School</t>
        </is>
      </c>
      <c r="B47" t="inlineStr">
        <is>
          <t>Erik Maasdorp</t>
        </is>
      </c>
      <c r="C47" t="inlineStr">
        <is>
          <t>+27 82 897 4817</t>
        </is>
      </c>
      <c r="D47" s="109" t="inlineStr">
        <is>
          <t>ppl@flywaa.co.za</t>
        </is>
      </c>
      <c r="E47" t="inlineStr">
        <is>
          <t>Witbank Airport (FAWI), Emalahleni, Mpumalanga</t>
        </is>
      </c>
      <c r="F47" t="inlineStr">
        <is>
          <t>(not publicly listed on site)</t>
        </is>
      </c>
      <c r="G47" t="inlineStr">
        <is>
          <t>https://www.facebook.com/groups/WitbankAero</t>
        </is>
      </c>
      <c r="H47" t="inlineStr">
        <is>
          <t>Club-based flight training at Witbank (fixed-wing).</t>
        </is>
      </c>
      <c r="I47" t="inlineStr">
        <is>
          <t>Fixed-wing</t>
        </is>
      </c>
    </row>
    <row r="48" customFormat="1" s="121">
      <c r="A48" s="121" t="inlineStr">
        <is>
          <t>Johannesburg Flying Academy</t>
        </is>
      </c>
      <c r="B48" s="121" t="inlineStr">
        <is>
          <t>Training Office</t>
        </is>
      </c>
      <c r="C48" s="121" t="inlineStr">
        <is>
          <t>+27 82 201 6230</t>
        </is>
      </c>
      <c r="D48" s="122" t="inlineStr">
        <is>
          <t>info@jhbflying.co.za</t>
        </is>
      </c>
      <c r="E48" s="121" t="inlineStr">
        <is>
          <t>Panorama Airfield, Johannesburg South (Eikenhof), Gauteng</t>
        </is>
      </c>
      <c r="F48" s="121" t="inlineStr">
        <is>
          <t>(not publicly listed on site)</t>
        </is>
      </c>
      <c r="G48" s="121" t="inlineStr">
        <is>
          <t>https://www.jhbflying.co.za</t>
        </is>
      </c>
      <c r="H48" s="121" t="inlineStr">
        <is>
          <t>Fixed-wing ATO at Panorama; PPL, Night, hour-building.</t>
        </is>
      </c>
      <c r="I48" s="121" t="inlineStr">
        <is>
          <t>Fixed-wing</t>
        </is>
      </c>
    </row>
    <row r="49">
      <c r="A49" t="inlineStr">
        <is>
          <t>Accolade Flying Wings (Rand)</t>
        </is>
      </c>
      <c r="B49" t="inlineStr">
        <is>
          <t>Training Office</t>
        </is>
      </c>
      <c r="C49" t="inlineStr">
        <is>
          <t>+27 60 985 6622</t>
        </is>
      </c>
      <c r="D49" s="109" t="inlineStr">
        <is>
          <t>info@accoladeflyingwings.co.za</t>
        </is>
      </c>
      <c r="E49" t="inlineStr">
        <is>
          <t>Hangar 54, Rand Airport, 4 Viking Way, Germiston, Gauteng</t>
        </is>
      </c>
      <c r="F49" t="inlineStr">
        <is>
          <t>Tecnam P92; Cessna 172 (Jet-A1); Diamond DA42</t>
        </is>
      </c>
      <c r="G49" t="inlineStr">
        <is>
          <t>https://accoladeflyingwings.co.za</t>
        </is>
      </c>
      <c r="H49" t="inlineStr">
        <is>
          <t>Fixed-wing ATO at Rand; PPL → CPL/ME; diversified training fleet.</t>
        </is>
      </c>
      <c r="I49" t="inlineStr">
        <is>
          <t>Fixed-wing</t>
        </is>
      </c>
    </row>
  </sheetData>
  <autoFilter ref="A1:R49"/>
  <mergeCells count="1">
    <mergeCell ref="E3:H19"/>
  </mergeCell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22" r:id="rId18"/>
    <hyperlink xmlns:r="http://schemas.openxmlformats.org/officeDocument/2006/relationships" ref="D25" r:id="rId19"/>
    <hyperlink xmlns:r="http://schemas.openxmlformats.org/officeDocument/2006/relationships" ref="K25" r:id="rId20"/>
    <hyperlink xmlns:r="http://schemas.openxmlformats.org/officeDocument/2006/relationships" ref="L25" r:id="rId21"/>
    <hyperlink xmlns:r="http://schemas.openxmlformats.org/officeDocument/2006/relationships" ref="K27" r:id="rId22"/>
    <hyperlink xmlns:r="http://schemas.openxmlformats.org/officeDocument/2006/relationships" ref="L27" r:id="rId23"/>
    <hyperlink xmlns:r="http://schemas.openxmlformats.org/officeDocument/2006/relationships" ref="O27" r:id="rId24"/>
    <hyperlink xmlns:r="http://schemas.openxmlformats.org/officeDocument/2006/relationships" ref="D40" r:id="rId25"/>
    <hyperlink xmlns:r="http://schemas.openxmlformats.org/officeDocument/2006/relationships" ref="D41" r:id="rId26"/>
    <hyperlink xmlns:r="http://schemas.openxmlformats.org/officeDocument/2006/relationships" ref="D42" r:id="rId27"/>
    <hyperlink xmlns:r="http://schemas.openxmlformats.org/officeDocument/2006/relationships" ref="M42" r:id="rId28"/>
    <hyperlink xmlns:r="http://schemas.openxmlformats.org/officeDocument/2006/relationships" ref="N42" r:id="rId29"/>
    <hyperlink xmlns:r="http://schemas.openxmlformats.org/officeDocument/2006/relationships" ref="O42" display="mailto:reception@flyfofa.co.za" r:id="rId30"/>
    <hyperlink xmlns:r="http://schemas.openxmlformats.org/officeDocument/2006/relationships" ref="D47" r:id="rId31"/>
    <hyperlink xmlns:r="http://schemas.openxmlformats.org/officeDocument/2006/relationships" ref="D49" r:id="rId32"/>
  </hyperlink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O49"/>
  <sheetViews>
    <sheetView zoomScaleNormal="100" workbookViewId="0">
      <selection activeCell="B17" sqref="B17"/>
    </sheetView>
    <sheetView workbookViewId="1">
      <selection activeCell="A1" sqref="A1"/>
    </sheetView>
  </sheetViews>
  <sheetFormatPr baseColWidth="8" defaultColWidth="8.796875" defaultRowHeight="13.8"/>
  <cols>
    <col width="48.19921875" customWidth="1" min="1" max="1"/>
    <col width="26.69921875" bestFit="1" customWidth="1" min="2" max="2"/>
    <col width="8.796875" customWidth="1" style="13" min="4" max="4"/>
    <col width="37.796875" customWidth="1" min="6" max="6"/>
    <col width="16.69921875" bestFit="1" customWidth="1" min="11" max="11"/>
    <col width="21" bestFit="1" customWidth="1" min="12" max="12"/>
    <col width="13.796875" bestFit="1" customWidth="1" min="13" max="13"/>
  </cols>
  <sheetData>
    <row r="1">
      <c r="A1" s="96" t="inlineStr">
        <is>
          <t>Aeronav Academy (Lanseria)</t>
        </is>
      </c>
      <c r="C1" t="inlineStr">
        <is>
          <t>Sent</t>
        </is>
      </c>
    </row>
    <row r="2">
      <c r="A2" t="inlineStr">
        <is>
          <t>Donald O'Connor</t>
        </is>
      </c>
      <c r="B2" s="16" t="inlineStr">
        <is>
          <t>donald@aeronav.co.za</t>
        </is>
      </c>
      <c r="C2" t="inlineStr">
        <is>
          <t>x</t>
        </is>
      </c>
    </row>
    <row r="3" customFormat="1" s="111">
      <c r="A3" s="111" t="inlineStr">
        <is>
          <t>Donald O' Connor</t>
        </is>
      </c>
      <c r="B3" s="117" t="inlineStr">
        <is>
          <t>donald.oconnor@aeronav.co.za</t>
        </is>
      </c>
      <c r="C3" s="111" t="inlineStr">
        <is>
          <t>x</t>
        </is>
      </c>
      <c r="D3" s="112" t="n"/>
      <c r="E3" s="191" t="inlineStr">
        <is>
          <t>Friday 03/10/2025 Reach Out</t>
        </is>
      </c>
    </row>
    <row r="4">
      <c r="B4" s="90" t="inlineStr">
        <is>
          <t xml:space="preserve">info@aeronav.co.za  </t>
        </is>
      </c>
    </row>
    <row r="5">
      <c r="A5" s="96" t="inlineStr">
        <is>
          <t>Central Flying Academy (Rand, Germiston)</t>
        </is>
      </c>
    </row>
    <row r="6" customFormat="1" s="111">
      <c r="A6" s="111" t="inlineStr">
        <is>
          <t>BARTER PAUL RONALD</t>
        </is>
      </c>
      <c r="B6" s="117" t="inlineStr">
        <is>
          <t>paul@cfa.co.za</t>
        </is>
      </c>
      <c r="C6" s="111" t="inlineStr">
        <is>
          <t>x</t>
        </is>
      </c>
      <c r="D6" s="112" t="n"/>
    </row>
    <row r="7" customFormat="1" s="121">
      <c r="A7" s="121" t="inlineStr">
        <is>
          <t>MARAIS WILLEM KAREL NICOLAAS</t>
        </is>
      </c>
      <c r="B7" s="127" t="inlineStr">
        <is>
          <t>willie@cfa.co.za</t>
        </is>
      </c>
      <c r="C7" s="121" t="inlineStr">
        <is>
          <t>x</t>
        </is>
      </c>
      <c r="D7" s="122" t="n"/>
    </row>
    <row r="8" customFormat="1" s="121">
      <c r="B8" s="128" t="inlineStr">
        <is>
          <t xml:space="preserve">info@cfasa.co.za  </t>
        </is>
      </c>
      <c r="D8" s="122" t="n"/>
    </row>
    <row r="9" customFormat="1" s="111">
      <c r="D9" s="112" t="n"/>
    </row>
    <row r="10" customFormat="1" s="111">
      <c r="A10" s="118" t="inlineStr">
        <is>
          <t>Airborne Aviation (Brakpan/Benoni)</t>
        </is>
      </c>
      <c r="B10" s="117" t="inlineStr">
        <is>
          <t>sam@airborneaviation.co.za</t>
        </is>
      </c>
      <c r="C10" s="111" t="inlineStr">
        <is>
          <t>x</t>
        </is>
      </c>
      <c r="D10" s="112" t="n"/>
    </row>
    <row r="11"/>
    <row r="12"/>
    <row r="13"/>
    <row r="14" customFormat="1" s="121">
      <c r="D14" s="122" t="n"/>
    </row>
    <row r="15"/>
    <row r="16" customFormat="1" s="121">
      <c r="D16" s="122" t="inlineStr">
        <is>
          <t>info@mach1aviation.co.za</t>
        </is>
      </c>
    </row>
    <row r="17"/>
    <row r="18"/>
    <row r="19" ht="14.4" customFormat="1" customHeight="1" s="136" thickBot="1">
      <c r="D19" s="137" t="n"/>
      <c r="E19" s="136" t="n"/>
      <c r="F19" s="136" t="n"/>
      <c r="G19" s="136" t="n"/>
      <c r="H19" s="136" t="n"/>
    </row>
    <row r="20" customFormat="1" s="138">
      <c r="A20" s="138" t="inlineStr">
        <is>
          <t>AFOS Flight Training School</t>
        </is>
      </c>
      <c r="B20" s="138" t="inlineStr">
        <is>
          <t>Training Office</t>
        </is>
      </c>
      <c r="C20" s="138" t="inlineStr">
        <is>
          <t>+27 11 827 4125; +27 83 327 6333</t>
        </is>
      </c>
      <c r="D20" s="139" t="inlineStr">
        <is>
          <t>fly@afos.co.za; mark@afos.co.za</t>
        </is>
      </c>
      <c r="E20" s="138" t="inlineStr">
        <is>
          <t>Hangar 40, Lancaster Ave, Rand Airport 1419</t>
        </is>
      </c>
      <c r="F20" s="138" t="inlineStr">
        <is>
          <t>—</t>
        </is>
      </c>
      <c r="G20" s="138" t="inlineStr">
        <is>
          <t>http://www.afos.co.za</t>
        </is>
      </c>
      <c r="H20" s="138" t="inlineStr">
        <is>
          <t>Fixed-wing training at Rand Airport</t>
        </is>
      </c>
      <c r="I20" s="138" t="inlineStr">
        <is>
          <t>Fixed-wing</t>
        </is>
      </c>
    </row>
    <row r="21" customFormat="1" s="111">
      <c r="A21" s="111" t="inlineStr">
        <is>
          <t>Aeronav Academy</t>
        </is>
      </c>
      <c r="B21" s="111" t="inlineStr">
        <is>
          <t>Admissions Office</t>
        </is>
      </c>
      <c r="C21" s="111" t="inlineStr">
        <is>
          <t>+27 11 701 3862</t>
        </is>
      </c>
      <c r="D21" s="112" t="inlineStr">
        <is>
          <t>info@aeronav.co.za</t>
        </is>
      </c>
      <c r="E21" s="111" t="inlineStr">
        <is>
          <t>Gate 9A, Lanseria International Airport</t>
        </is>
      </c>
      <c r="F21" s="111" t="inlineStr">
        <is>
          <t>Diamond DA20; Cessna 172; Diamond DA42</t>
        </is>
      </c>
      <c r="G21" s="111" t="inlineStr">
        <is>
          <t>https://www.aeronav.co.za</t>
        </is>
      </c>
      <c r="H21" s="111" t="inlineStr">
        <is>
          <t>Lanseria ATO; single &amp; multi-engine training; FNPT II</t>
        </is>
      </c>
      <c r="I21" s="111" t="inlineStr">
        <is>
          <t>Fixed-wing</t>
        </is>
      </c>
    </row>
    <row r="22">
      <c r="A22" t="inlineStr">
        <is>
          <t>Bluebird Aerospace Flight School</t>
        </is>
      </c>
      <c r="B22" t="inlineStr">
        <is>
          <t>Training Office</t>
        </is>
      </c>
      <c r="C22" t="inlineStr">
        <is>
          <t>+27 71 480 4513</t>
        </is>
      </c>
      <c r="D22" s="13" t="inlineStr">
        <is>
          <t>info@bluebirdaerospace.com</t>
        </is>
      </c>
      <c r="E22" t="inlineStr">
        <is>
          <t>Vereeniging Airport (FAVV), 121 Citation Rd, Aeroval</t>
        </is>
      </c>
      <c r="F22" t="inlineStr">
        <is>
          <t>Cessna 150; Cessna 172; Piper Cherokee</t>
        </is>
      </c>
      <c r="G22" t="inlineStr">
        <is>
          <t>https://bluebirdaerospace.com/</t>
        </is>
      </c>
      <c r="H22" t="inlineStr">
        <is>
          <t>Fixed-wing flight school at Vereeniging</t>
        </is>
      </c>
      <c r="I22" t="inlineStr">
        <is>
          <t>Fixed-wing</t>
        </is>
      </c>
    </row>
    <row r="23" customFormat="1" s="111">
      <c r="A23" s="111" t="inlineStr">
        <is>
          <t>Central Flying Academy (CFA)</t>
        </is>
      </c>
      <c r="B23" s="111" t="inlineStr">
        <is>
          <t>Erna Krebs (Chief Flight Instructor)</t>
        </is>
      </c>
      <c r="C23" s="111" t="inlineStr">
        <is>
          <t>+27 11 824 4421</t>
        </is>
      </c>
      <c r="D23" s="112" t="inlineStr">
        <is>
          <t>info@cfasa.co.za</t>
        </is>
      </c>
      <c r="E23" s="111" t="inlineStr">
        <is>
          <t>Hangar 28, Hurricane Rd, Rand Airport, Germiston 1401</t>
        </is>
      </c>
      <c r="F23" s="111" t="inlineStr">
        <is>
          <t>Cessna 172; Cessna 172RG; Piper PA-30 Twin Comanche</t>
        </is>
      </c>
      <c r="G23" s="111" t="inlineStr">
        <is>
          <t>https://www.cfasa.co.za</t>
        </is>
      </c>
      <c r="H23" s="111" t="inlineStr">
        <is>
          <t>Fixed-wing ATO at Rand Airport; PPL→CPL/IF; FNPT II available</t>
        </is>
      </c>
      <c r="I23" s="111" t="inlineStr">
        <is>
          <t>Fixed-wing</t>
        </is>
      </c>
    </row>
    <row r="24" customFormat="1" s="111">
      <c r="A24" s="111" t="inlineStr">
        <is>
          <t>Eagle1 Flight Academy</t>
        </is>
      </c>
      <c r="B24" s="111" t="inlineStr">
        <is>
          <t>Training Office</t>
        </is>
      </c>
      <c r="C24" s="111" t="inlineStr">
        <is>
          <t>+27 11 824 1396; +27 79 448 8289</t>
        </is>
      </c>
      <c r="D24" s="112" t="inlineStr">
        <is>
          <t>info@eagle1.co.za</t>
        </is>
      </c>
      <c r="E24" s="111" t="inlineStr">
        <is>
          <t>Hangar 20, Rand Airport, Germiston 1401</t>
        </is>
      </c>
      <c r="F24" s="111" t="inlineStr">
        <is>
          <t>—</t>
        </is>
      </c>
      <c r="G24" s="111" t="inlineStr">
        <is>
          <t>https://www.eagle1.co.za</t>
        </is>
      </c>
      <c r="H24" s="111" t="inlineStr">
        <is>
          <t>Fixed-wing flight school at Rand Airport</t>
        </is>
      </c>
      <c r="I24" s="111" t="inlineStr">
        <is>
          <t>Fixed-wing</t>
        </is>
      </c>
    </row>
    <row r="25" customFormat="1" s="140">
      <c r="A25" s="140" t="inlineStr">
        <is>
          <t>Helivate Helicopter Services</t>
        </is>
      </c>
      <c r="B25" s="140" t="inlineStr">
        <is>
          <t>Training Team</t>
        </is>
      </c>
      <c r="C25" s="140" t="inlineStr">
        <is>
          <t>+27 60 969 3317; +27 72 219 3264; +27 84 583 1569</t>
        </is>
      </c>
      <c r="D25" s="141" t="inlineStr">
        <is>
          <t>info@helivate.com</t>
        </is>
      </c>
      <c r="E25" s="140" t="inlineStr">
        <is>
          <t>Jack Taylor Airport, Barta Street, Krugersdorp</t>
        </is>
      </c>
      <c r="F25" s="140" t="inlineStr">
        <is>
          <t>Robinson R44; Robinson R66; Alouette III</t>
        </is>
      </c>
      <c r="G25" s="140" t="inlineStr">
        <is>
          <t>https://www.helivate.com/</t>
        </is>
      </c>
      <c r="H25" s="140" t="inlineStr">
        <is>
          <t>Helicopter pilot training; Gauteng base at Krugersdorp</t>
        </is>
      </c>
      <c r="I25" s="140" t="inlineStr">
        <is>
          <t>Helicopter</t>
        </is>
      </c>
      <c r="K25" s="140" t="inlineStr">
        <is>
          <t>paul@helivate.com</t>
        </is>
      </c>
      <c r="L25" s="140" t="inlineStr">
        <is>
          <t>paul@statusmark.co.za</t>
        </is>
      </c>
      <c r="M25" s="140" t="inlineStr">
        <is>
          <t xml:space="preserve">Paul Cumming </t>
        </is>
      </c>
    </row>
    <row r="26" customFormat="1" s="119">
      <c r="A26" s="119" t="inlineStr">
        <is>
          <t>Henley Air Flight Training</t>
        </is>
      </c>
      <c r="B26" s="119" t="inlineStr">
        <is>
          <t>Flight School Office</t>
        </is>
      </c>
      <c r="C26" s="119" t="inlineStr">
        <is>
          <t>+27 11 827 5503</t>
        </is>
      </c>
      <c r="D26" s="120" t="inlineStr">
        <is>
          <t>flightschool@henleyair.co.za</t>
        </is>
      </c>
      <c r="E26" s="119" t="inlineStr">
        <is>
          <t>Hangar 6, Rand Airport, Germiston 1419</t>
        </is>
      </c>
      <c r="F26" s="119" t="inlineStr">
        <is>
          <t>Robinson R44; Bell 206 JetRanger; Bell 407</t>
        </is>
      </c>
      <c r="G26" s="119" t="inlineStr">
        <is>
          <t>https://www.henleyairflighttraining.co.za/</t>
        </is>
      </c>
      <c r="H26" s="119" t="inlineStr">
        <is>
          <t>Helicopter pilot training (PPL→ATPL) at Rand</t>
        </is>
      </c>
      <c r="I26" s="119" t="inlineStr">
        <is>
          <t>Helicopter</t>
        </is>
      </c>
    </row>
    <row r="27" customFormat="1" s="140">
      <c r="A27" s="140" t="inlineStr">
        <is>
          <t>Hover Dynamics</t>
        </is>
      </c>
      <c r="B27" s="140" t="inlineStr">
        <is>
          <t>Andre Snyman (Head of Training)</t>
        </is>
      </c>
      <c r="C27" s="140" t="inlineStr">
        <is>
          <t>+27 11 315 1834</t>
        </is>
      </c>
      <c r="D27" s="141" t="inlineStr">
        <is>
          <t>cfi@hoverdynamics.co.za; reception@hoverdynamics.co.za</t>
        </is>
      </c>
      <c r="E27" s="140" t="inlineStr">
        <is>
          <t>Grand Central Airport Terminal Building, New Road, Midrand</t>
        </is>
      </c>
      <c r="F27" s="140" t="inlineStr">
        <is>
          <t>Robinson R22; Robinson R44; Robinson R66</t>
        </is>
      </c>
      <c r="G27" s="140" t="inlineStr">
        <is>
          <t>https://hoverdynamics.co.za/</t>
        </is>
      </c>
      <c r="H27" s="140" t="inlineStr">
        <is>
          <t>Helicopter pilot training at Grand Central</t>
        </is>
      </c>
      <c r="I27" s="140" t="inlineStr">
        <is>
          <t>Helicopter</t>
        </is>
      </c>
      <c r="K27" s="140" t="inlineStr">
        <is>
          <t>hdm@hoverdynamics.co.za</t>
        </is>
      </c>
      <c r="L27" s="140" t="inlineStr">
        <is>
          <t>ame@hoverdynamics.co.za</t>
        </is>
      </c>
      <c r="M27" s="140" t="inlineStr">
        <is>
          <t>DEAN</t>
        </is>
      </c>
      <c r="N27" s="140" t="inlineStr">
        <is>
          <t>FELDMAN</t>
        </is>
      </c>
      <c r="O27" s="140" t="inlineStr">
        <is>
          <t>dean@hoverdynamics.co.za</t>
        </is>
      </c>
    </row>
    <row r="28" customFormat="1" s="111">
      <c r="A28" s="111" t="inlineStr">
        <is>
          <t>Johannesburg School of Flying (JSF)</t>
        </is>
      </c>
      <c r="B28" s="111" t="inlineStr">
        <is>
          <t>Training Office</t>
        </is>
      </c>
      <c r="C28" s="111" t="inlineStr">
        <is>
          <t>+27 11 827 9827; +27 11 824 3990</t>
        </is>
      </c>
      <c r="D28" s="112" t="inlineStr">
        <is>
          <t>info@jsf.co.za</t>
        </is>
      </c>
      <c r="E28" s="111" t="inlineStr">
        <is>
          <t>Hangars 30–33, Rand Airport, Germiston 1401</t>
        </is>
      </c>
      <c r="F28" s="111" t="inlineStr">
        <is>
          <t>Cessna 152; Cessna 172; Piper PA-34 Seneca II</t>
        </is>
      </c>
      <c r="G28" s="111" t="inlineStr">
        <is>
          <t>https://jsf.co.za</t>
        </is>
      </c>
      <c r="H28" s="111" t="inlineStr">
        <is>
          <t>Fixed-wing training at Rand Airport; multi-engine available</t>
        </is>
      </c>
      <c r="I28" s="111" t="inlineStr">
        <is>
          <t>Fixed-wing</t>
        </is>
      </c>
    </row>
    <row r="29" customFormat="1" s="111">
      <c r="A29" s="111" t="inlineStr">
        <is>
          <t>Lanseria Flight Centre (LFC)</t>
        </is>
      </c>
      <c r="B29" s="111" t="inlineStr">
        <is>
          <t>Ian Dyson (Director)</t>
        </is>
      </c>
      <c r="C29" s="111" t="inlineStr">
        <is>
          <t>+27 11 312 5166; +27 60 829 0953</t>
        </is>
      </c>
      <c r="D29" s="112" t="inlineStr">
        <is>
          <t>info@flylfc.com</t>
        </is>
      </c>
      <c r="E29" s="111" t="inlineStr">
        <is>
          <t>Terminal Building, Office Suite 25B, Grand Central Airport, Midrand</t>
        </is>
      </c>
      <c r="F29" s="111" t="inlineStr">
        <is>
          <t>Cessna 172; Diamond DA42; Piper PA-34 Seneca</t>
        </is>
      </c>
      <c r="G29" s="111" t="inlineStr">
        <is>
          <t>https://www.flylfc.com</t>
        </is>
      </c>
      <c r="H29" s="111" t="inlineStr">
        <is>
          <t>Fixed-wing training at Grand Central; integrated &amp; modular</t>
        </is>
      </c>
      <c r="I29" s="111" t="inlineStr">
        <is>
          <t>Fixed-wing</t>
        </is>
      </c>
    </row>
    <row r="30" customFormat="1" s="119">
      <c r="A30" s="119" t="inlineStr">
        <is>
          <t>NAC Helicopter Flight Training (National Airways Corporation)</t>
        </is>
      </c>
      <c r="B30" s="119" t="inlineStr">
        <is>
          <t>Vicky Sankey (Training/Exams)</t>
        </is>
      </c>
      <c r="C30" s="119" t="inlineStr">
        <is>
          <t>+27 11 345 2500</t>
        </is>
      </c>
      <c r="D30" s="120" t="inlineStr">
        <is>
          <t>flightschool@nac.co.za; info@nac.co.za</t>
        </is>
      </c>
      <c r="E30" s="119" t="inlineStr">
        <is>
          <t>Rand Airport, Germiston (Training) &amp; Ultimate Heliport, Midrand</t>
        </is>
      </c>
      <c r="F30" s="119" t="inlineStr">
        <is>
          <t>Robinson R22; Robinson R44; Bell 206/407</t>
        </is>
      </c>
      <c r="G30" s="119" t="inlineStr">
        <is>
          <t>https://www.nac.co.za/helicopter-pilot-training</t>
        </is>
      </c>
      <c r="H30" s="119" t="inlineStr">
        <is>
          <t>Helicopter flight training (NAC)</t>
        </is>
      </c>
      <c r="I30" s="119" t="inlineStr">
        <is>
          <t>Helicopter</t>
        </is>
      </c>
    </row>
    <row r="31" customFormat="1" s="119">
      <c r="A31" s="119" t="inlineStr">
        <is>
          <t>Phoebus Apollo Aviation (Flight School)</t>
        </is>
      </c>
      <c r="B31" s="119" t="inlineStr">
        <is>
          <t>Flight School Office</t>
        </is>
      </c>
      <c r="C31" s="119" t="inlineStr">
        <is>
          <t>+27 11 824 3814</t>
        </is>
      </c>
      <c r="D31" s="120" t="inlineStr">
        <is>
          <t>flightschool@phoebusapollo.co.za</t>
        </is>
      </c>
      <c r="E31" s="119" t="inlineStr">
        <is>
          <t>Hangars 17 &amp; 21, Rand Airport, Germiston 1401</t>
        </is>
      </c>
      <c r="F31" s="119" t="inlineStr">
        <is>
          <t>Cessna 152; Cessna 172/172RG; Piper PA-34 Seneca I</t>
        </is>
      </c>
      <c r="G31" s="119" t="inlineStr">
        <is>
          <t>https://www.phoebusapollo.co.za</t>
        </is>
      </c>
      <c r="H31" s="119" t="inlineStr">
        <is>
          <t>Fixed-wing training and charter</t>
        </is>
      </c>
      <c r="I31" s="119" t="inlineStr">
        <is>
          <t>Fixed-wing</t>
        </is>
      </c>
    </row>
    <row r="32" customFormat="1" s="121">
      <c r="A32" s="121" t="inlineStr">
        <is>
          <t>Skyhawk Aviation</t>
        </is>
      </c>
      <c r="B32" s="121" t="inlineStr">
        <is>
          <t>Training Office</t>
        </is>
      </c>
      <c r="C32" s="121" t="inlineStr">
        <is>
          <t>+27 11 701 2622</t>
        </is>
      </c>
      <c r="D32" s="122" t="inlineStr">
        <is>
          <t>info@skyhawk.co.za</t>
        </is>
      </c>
      <c r="E32" s="121" t="inlineStr">
        <is>
          <t>Hangar 30, Gate 5, Lanseria International Airport</t>
        </is>
      </c>
      <c r="F32" s="121" t="inlineStr">
        <is>
          <t>Cessna 172; Piper PA-28; Piper PA-34 Seneca</t>
        </is>
      </c>
      <c r="G32" s="121" t="inlineStr">
        <is>
          <t>https://skyhawk.co.za</t>
        </is>
      </c>
      <c r="H32" s="121" t="inlineStr">
        <is>
          <t>Fixed-wing training; career pilot programmes</t>
        </is>
      </c>
      <c r="I32" s="121" t="inlineStr">
        <is>
          <t>Fixed-wing</t>
        </is>
      </c>
    </row>
    <row r="33" customFormat="1" s="121">
      <c r="A33" s="121" t="inlineStr">
        <is>
          <t>Sun Quest Aviation (SQA)</t>
        </is>
      </c>
      <c r="B33" s="121" t="inlineStr">
        <is>
          <t>Ops/Enquiries</t>
        </is>
      </c>
      <c r="C33" s="121" t="inlineStr">
        <is>
          <t>+27 81 309 3113; +27 11 827 9308</t>
        </is>
      </c>
      <c r="D33" s="122" t="inlineStr">
        <is>
          <t>info@sqasa.co.za</t>
        </is>
      </c>
      <c r="E33" s="121" t="inlineStr">
        <is>
          <t>Hangar 4, Rand Airport, Germiston 1401</t>
        </is>
      </c>
      <c r="F33" s="121" t="inlineStr">
        <is>
          <t>—</t>
        </is>
      </c>
      <c r="G33" s="121" t="inlineStr">
        <is>
          <t>https://sqasa.co.za/</t>
        </is>
      </c>
      <c r="H33" s="121" t="inlineStr">
        <is>
          <t>Fixed-wing ATO at Rand Airport</t>
        </is>
      </c>
      <c r="I33" s="121" t="inlineStr">
        <is>
          <t>Fixed-wing</t>
        </is>
      </c>
    </row>
    <row r="34" customFormat="1" s="121">
      <c r="A34" s="121" t="inlineStr">
        <is>
          <t>U-Fly Training Academy</t>
        </is>
      </c>
      <c r="B34" s="121" t="inlineStr">
        <is>
          <t>Training Office</t>
        </is>
      </c>
      <c r="C34" s="121" t="inlineStr">
        <is>
          <t>+27 11 824 0680; +27 11 027 7655</t>
        </is>
      </c>
      <c r="D34" s="122" t="inlineStr">
        <is>
          <t>info@uflyacademy.co.za</t>
        </is>
      </c>
      <c r="E34" s="121" t="inlineStr">
        <is>
          <t>1 Spitfire Crescent, Rand Airport, Germiston</t>
        </is>
      </c>
      <c r="F34" s="121" t="inlineStr">
        <is>
          <t>Piper PA-28 Warrior; Piper PA-28R Arrow; Piper PA-34 Seneca</t>
        </is>
      </c>
      <c r="G34" s="121" t="inlineStr">
        <is>
          <t>https://www.uflyacademy.co.za</t>
        </is>
      </c>
      <c r="H34" s="121" t="inlineStr">
        <is>
          <t>Fixed-wing training and hire-&amp;-fly; PPL→ATPL pathway</t>
        </is>
      </c>
      <c r="I34" s="121" t="inlineStr">
        <is>
          <t>Fixed-wing</t>
        </is>
      </c>
    </row>
    <row r="35" customFormat="1" s="121">
      <c r="A35" s="121" t="inlineStr">
        <is>
          <t>Superior Pilot Services (SPS)</t>
        </is>
      </c>
      <c r="B35" s="121" t="inlineStr">
        <is>
          <t>Training Office</t>
        </is>
      </c>
      <c r="C35" s="121" t="inlineStr">
        <is>
          <t>+27 11 805 0605</t>
        </is>
      </c>
      <c r="D35" s="122" t="inlineStr">
        <is>
          <t>info@superiorair.co.za</t>
        </is>
      </c>
      <c r="E35" s="121" t="inlineStr">
        <is>
          <t>Grand Central Airport (FAGC), Midrand, Gauteng</t>
        </is>
      </c>
      <c r="F35" s="121" t="inlineStr">
        <is>
          <t>Cessna 172</t>
        </is>
      </c>
      <c r="G35" s="121" t="inlineStr">
        <is>
          <t>https://www.superiorpilotservices.com</t>
        </is>
      </c>
      <c r="H35" s="121" t="inlineStr">
        <is>
          <t>Fixed-wing ATO at Grand Central; PPL, Night, CPL etc.</t>
        </is>
      </c>
      <c r="I35" s="121" t="inlineStr">
        <is>
          <t>Fixed-wing</t>
        </is>
      </c>
    </row>
    <row r="36" customFormat="1" s="121">
      <c r="A36" s="121" t="inlineStr">
        <is>
          <t>Flight Training Services (FTS)</t>
        </is>
      </c>
      <c r="B36" s="121" t="inlineStr">
        <is>
          <t>Training Office</t>
        </is>
      </c>
      <c r="C36" s="121" t="inlineStr">
        <is>
          <t>+27 11 805 9015</t>
        </is>
      </c>
      <c r="D36" s="122" t="inlineStr">
        <is>
          <t>fly@fts.co.za</t>
        </is>
      </c>
      <c r="E36" s="121" t="inlineStr">
        <is>
          <t>Grand Central Airport (FAGC), Midrand, Gauteng</t>
        </is>
      </c>
      <c r="F36" s="121" t="inlineStr">
        <is>
          <t>Cessna 172</t>
        </is>
      </c>
      <c r="G36" s="121" t="inlineStr">
        <is>
          <t>https://www.fts.co.za</t>
        </is>
      </c>
      <c r="H36" s="121" t="inlineStr">
        <is>
          <t>Fixed-wing ATO; PPL through CPL/IR; based at Grand Central.</t>
        </is>
      </c>
      <c r="I36" s="121" t="inlineStr">
        <is>
          <t>Fixed-wing</t>
        </is>
      </c>
    </row>
    <row r="37" customFormat="1" s="121">
      <c r="A37" s="121" t="inlineStr">
        <is>
          <t>Blue Chip Flight School</t>
        </is>
      </c>
      <c r="B37" s="121" t="inlineStr">
        <is>
          <t>Training Office</t>
        </is>
      </c>
      <c r="C37" s="121" t="inlineStr">
        <is>
          <t>+27 12 543 3050</t>
        </is>
      </c>
      <c r="D37" s="122" t="inlineStr">
        <is>
          <t>marketing@bluechip-avia.co.za</t>
        </is>
      </c>
      <c r="E37" s="121" t="inlineStr">
        <is>
          <t>Main Terminal Building, Wonderboom National Airport (FAWB), Pretoria</t>
        </is>
      </c>
      <c r="F37" s="121" t="inlineStr">
        <is>
          <t>Cessna 172</t>
        </is>
      </c>
      <c r="G37" s="121" t="inlineStr">
        <is>
          <t>https://bluechipflightschool.co.za</t>
        </is>
      </c>
      <c r="H37" s="121" t="inlineStr">
        <is>
          <t>Large Wonderboom-based ATO offering PPL → CPL/IR.</t>
        </is>
      </c>
      <c r="I37" s="121" t="inlineStr">
        <is>
          <t>Fixed-wing</t>
        </is>
      </c>
    </row>
    <row r="38" customFormat="1" s="121">
      <c r="A38" s="121" t="inlineStr">
        <is>
          <t>Eagle Air Flight School</t>
        </is>
      </c>
      <c r="B38" s="121" t="inlineStr">
        <is>
          <t>Training Office</t>
        </is>
      </c>
      <c r="C38" s="121" t="inlineStr">
        <is>
          <t>+27 12 543 1929</t>
        </is>
      </c>
      <c r="D38" s="122" t="inlineStr">
        <is>
          <t>info@eagleair.co.za</t>
        </is>
      </c>
      <c r="E38" s="121" t="inlineStr">
        <is>
          <t>Wonderboom National Airport (FAWB), Pretoria</t>
        </is>
      </c>
      <c r="F38" s="121" t="inlineStr">
        <is>
          <t>Cessna 172; Piper PA-28; Beechcraft Baron</t>
        </is>
      </c>
      <c r="G38" s="121" t="inlineStr">
        <is>
          <t>https://eagleair.co.za</t>
        </is>
      </c>
      <c r="H38" s="121" t="inlineStr">
        <is>
          <t>Comprehensive fixed-wing training at Wonderboom.</t>
        </is>
      </c>
      <c r="I38" s="121" t="inlineStr">
        <is>
          <t>Fixed-wing</t>
        </is>
      </c>
    </row>
    <row r="39" customFormat="1" s="119">
      <c r="A39" s="119" t="inlineStr">
        <is>
          <t>Loutzavia Flight Training Academy</t>
        </is>
      </c>
      <c r="B39" s="119" t="inlineStr">
        <is>
          <t>Training Office</t>
        </is>
      </c>
      <c r="C39" s="119" t="inlineStr">
        <is>
          <t>+27 12 543 1620</t>
        </is>
      </c>
      <c r="D39" s="120" t="inlineStr">
        <is>
          <t>info@loutzavia.co.za</t>
        </is>
      </c>
      <c r="E39" s="119" t="inlineStr">
        <is>
          <t>Wonderboom National Airport (FAWB), Pretoria</t>
        </is>
      </c>
      <c r="F39" s="119" t="inlineStr">
        <is>
          <t>(not publicly listed on site)</t>
        </is>
      </c>
      <c r="G39" s="119" t="inlineStr">
        <is>
          <t>https://loutzavia.com</t>
        </is>
      </c>
      <c r="H39" s="119" t="inlineStr">
        <is>
          <t>Fixed-wing ATO; PPL → advanced ratings at Wonderboom.</t>
        </is>
      </c>
      <c r="I39" s="119" t="inlineStr">
        <is>
          <t>Fixed-wing</t>
        </is>
      </c>
    </row>
    <row r="40">
      <c r="A40" t="inlineStr">
        <is>
          <t>Learn2Fly (L2F)</t>
        </is>
      </c>
      <c r="B40" t="inlineStr">
        <is>
          <t>Training Office</t>
        </is>
      </c>
      <c r="C40" t="inlineStr">
        <is>
          <t>+27 12 567 5124</t>
        </is>
      </c>
      <c r="D40" s="13" t="inlineStr">
        <is>
          <t>info@learn2fly.co.za</t>
        </is>
      </c>
      <c r="E40" t="inlineStr">
        <is>
          <t>Wonderboom National Airport (FAWB), Pretoria</t>
        </is>
      </c>
      <c r="F40" t="inlineStr">
        <is>
          <t>(not publicly listed on site)</t>
        </is>
      </c>
      <c r="G40" t="inlineStr">
        <is>
          <t>https://learn2fly.co.za</t>
        </is>
      </c>
      <c r="H40" t="inlineStr">
        <is>
          <t>Fixed-wing ATO; PPL and onward training.</t>
        </is>
      </c>
      <c r="I40" t="inlineStr">
        <is>
          <t>Fixed-wing</t>
        </is>
      </c>
    </row>
    <row r="41">
      <c r="A41" t="inlineStr">
        <is>
          <t>Professional Flight Centre (PFC)</t>
        </is>
      </c>
      <c r="B41" t="inlineStr">
        <is>
          <t>Training Office</t>
        </is>
      </c>
      <c r="C41" t="inlineStr">
        <is>
          <t>+27 12 567 0575</t>
        </is>
      </c>
      <c r="D41" s="13" t="inlineStr">
        <is>
          <t>pfc1161@gmail.com</t>
        </is>
      </c>
      <c r="E41" t="inlineStr">
        <is>
          <t>Wonderboom National Airport (FAWB), Pretoria</t>
        </is>
      </c>
      <c r="F41" t="inlineStr">
        <is>
          <t>Cessna 172</t>
        </is>
      </c>
      <c r="G41" t="inlineStr">
        <is>
          <t>https://www.professionalflightcentre.co.za</t>
        </is>
      </c>
      <c r="H41" t="inlineStr">
        <is>
          <t>Fixed-wing ATO at Wonderboom; PPL, Night, CPL.</t>
        </is>
      </c>
      <c r="I41" t="inlineStr">
        <is>
          <t>Fixed-wing</t>
        </is>
      </c>
    </row>
    <row r="42">
      <c r="A42" t="inlineStr">
        <is>
          <t>Flyfofa Aviation &amp; Training</t>
        </is>
      </c>
      <c r="B42" t="inlineStr">
        <is>
          <t>Training Office</t>
        </is>
      </c>
      <c r="C42" t="inlineStr">
        <is>
          <t>+27 12 543 5798</t>
        </is>
      </c>
      <c r="D42" s="13" t="inlineStr">
        <is>
          <t>info@flyfofa.co.za</t>
        </is>
      </c>
      <c r="E42" t="inlineStr">
        <is>
          <t>Wonderboom National Airport (FAWB), Pretoria</t>
        </is>
      </c>
      <c r="F42" t="inlineStr">
        <is>
          <t>(not publicly listed on site)</t>
        </is>
      </c>
      <c r="G42" t="inlineStr">
        <is>
          <t>https://flyfofa.co.za</t>
        </is>
      </c>
      <c r="H42" t="inlineStr">
        <is>
          <t>Fixed-wing ATO at Wonderboom; ab-initio and advanced.</t>
        </is>
      </c>
      <c r="I42" t="inlineStr">
        <is>
          <t>Fixed-wing</t>
        </is>
      </c>
      <c r="K42" t="inlineStr">
        <is>
          <t>BRUCE</t>
        </is>
      </c>
      <c r="L42" t="inlineStr">
        <is>
          <t>FISHA</t>
        </is>
      </c>
      <c r="M42" t="inlineStr">
        <is>
          <t>fisha@flyfofa.co.za</t>
        </is>
      </c>
      <c r="N42" t="inlineStr">
        <is>
          <t>bfisha@flyfofa.co.za</t>
        </is>
      </c>
      <c r="O42" s="16" t="inlineStr">
        <is>
          <t>reception@flyfofa.co.za</t>
        </is>
      </c>
    </row>
    <row r="43">
      <c r="A43" t="inlineStr">
        <is>
          <t>Airborne Aviation (Brakpan)</t>
        </is>
      </c>
      <c r="B43" t="inlineStr">
        <is>
          <t>Training Office</t>
        </is>
      </c>
      <c r="C43" t="inlineStr">
        <is>
          <t>+27 76 564 2722</t>
        </is>
      </c>
      <c r="D43" s="13" t="inlineStr">
        <is>
          <t>info@airborne-aviation.co.za</t>
        </is>
      </c>
      <c r="E43" t="inlineStr">
        <is>
          <t>Brakpan/Benoni Airfield (FABB), Gauteng</t>
        </is>
      </c>
      <c r="F43" t="inlineStr">
        <is>
          <t>Cessna 172; Cessna 182; Piper Seneca</t>
        </is>
      </c>
      <c r="G43" t="inlineStr">
        <is>
          <t>https://airborne-aviation.co.za</t>
        </is>
      </c>
      <c r="H43" t="inlineStr">
        <is>
          <t>Fixed-wing ATO at Brakpan/Benoni; PPL → CPL/ME.</t>
        </is>
      </c>
      <c r="I43" t="inlineStr">
        <is>
          <t>Fixed-wing</t>
        </is>
      </c>
    </row>
    <row r="44" customFormat="1" s="121">
      <c r="A44" s="121" t="inlineStr">
        <is>
          <t>Mach1 Aviation Flight Academy</t>
        </is>
      </c>
      <c r="B44" s="121" t="inlineStr">
        <is>
          <t>Training Office</t>
        </is>
      </c>
      <c r="C44" s="121" t="inlineStr">
        <is>
          <t>+27 11 743 3305</t>
        </is>
      </c>
      <c r="D44" s="122" t="inlineStr">
        <is>
          <t>info@mach1aviation.co.za</t>
        </is>
      </c>
      <c r="E44" s="121" t="inlineStr">
        <is>
          <t>Springs Airfield (FASI), Springs, Gauteng</t>
        </is>
      </c>
      <c r="F44" s="121" t="inlineStr">
        <is>
          <t>(not publicly listed on site)</t>
        </is>
      </c>
      <c r="G44" s="121" t="inlineStr">
        <is>
          <t>https://www.mach1aviation.co.za</t>
        </is>
      </c>
      <c r="H44" s="121" t="inlineStr">
        <is>
          <t>Fixed-wing ATO at Springs; PPL → CPL with on-site lodging.</t>
        </is>
      </c>
      <c r="I44" s="121" t="inlineStr">
        <is>
          <t>Fixed-wing</t>
        </is>
      </c>
    </row>
    <row r="45" customFormat="1" s="121">
      <c r="A45" s="121" t="inlineStr">
        <is>
          <t>Aviatech FAPS Flight Academy</t>
        </is>
      </c>
      <c r="B45" s="121" t="inlineStr">
        <is>
          <t>Training Office</t>
        </is>
      </c>
      <c r="C45" s="121" t="inlineStr">
        <is>
          <t>+27 83 235 8043</t>
        </is>
      </c>
      <c r="D45" s="122" t="inlineStr">
        <is>
          <t>info@fapsflightacademy.co.za</t>
        </is>
      </c>
      <c r="E45" s="121" t="inlineStr">
        <is>
          <t>Potchefstroom Airfield (FAPS), North West</t>
        </is>
      </c>
      <c r="F45" s="121" t="inlineStr">
        <is>
          <t>(not publicly listed on site)</t>
        </is>
      </c>
      <c r="G45" s="121" t="inlineStr">
        <is>
          <t>https://fapsflightacademy.co.za</t>
        </is>
      </c>
      <c r="H45" s="121" t="inlineStr">
        <is>
          <t>Fixed-wing ATO at Potchefstroom; PPL and advanced.</t>
        </is>
      </c>
      <c r="I45" s="121" t="inlineStr">
        <is>
          <t>Fixed-wing</t>
        </is>
      </c>
    </row>
    <row r="46" customFormat="1" s="121">
      <c r="A46" s="121" t="inlineStr">
        <is>
          <t>Apex Flight Academy (Bucephalus Air)</t>
        </is>
      </c>
      <c r="B46" s="121" t="inlineStr">
        <is>
          <t>Training Office</t>
        </is>
      </c>
      <c r="C46" s="121" t="inlineStr">
        <is>
          <t>+27 76 692 7352</t>
        </is>
      </c>
      <c r="D46" s="122" t="inlineStr">
        <is>
          <t>info@bucephalusair.co.za</t>
        </is>
      </c>
      <c r="E46" s="121" t="inlineStr">
        <is>
          <t>Klerksdorp Airfield (FAKD), North West</t>
        </is>
      </c>
      <c r="F46" s="121" t="inlineStr">
        <is>
          <t>(not publicly listed on site)</t>
        </is>
      </c>
      <c r="G46" s="121" t="inlineStr">
        <is>
          <t>https://bucephalusair.co.za</t>
        </is>
      </c>
      <c r="H46" s="121" t="inlineStr">
        <is>
          <t>Fixed-wing ATO at Klerksdorp; ab-initio to advanced.</t>
        </is>
      </c>
      <c r="I46" s="121" t="inlineStr">
        <is>
          <t>Fixed-wing</t>
        </is>
      </c>
    </row>
    <row r="47">
      <c r="A47" t="inlineStr">
        <is>
          <t>Witbank Aeronautical Association Flight School</t>
        </is>
      </c>
      <c r="B47" t="inlineStr">
        <is>
          <t>Training Office</t>
        </is>
      </c>
      <c r="C47" t="inlineStr">
        <is>
          <t>+27 82 976 4103</t>
        </is>
      </c>
      <c r="D47" s="13" t="inlineStr">
        <is>
          <t>info@witbankaeroclub.co.za</t>
        </is>
      </c>
      <c r="E47" t="inlineStr">
        <is>
          <t>Witbank Airport (FAWI), Emalahleni, Mpumalanga</t>
        </is>
      </c>
      <c r="F47" t="inlineStr">
        <is>
          <t>(not publicly listed on site)</t>
        </is>
      </c>
      <c r="G47" t="inlineStr">
        <is>
          <t>https://www.facebook.com/groups/WitbankAero</t>
        </is>
      </c>
      <c r="H47" t="inlineStr">
        <is>
          <t>Club-based flight training at Witbank (fixed-wing).</t>
        </is>
      </c>
      <c r="I47" t="inlineStr">
        <is>
          <t>Fixed-wing</t>
        </is>
      </c>
    </row>
    <row r="48" customFormat="1" s="121">
      <c r="A48" s="121" t="inlineStr">
        <is>
          <t>Johannesburg Flying Academy</t>
        </is>
      </c>
      <c r="B48" s="121" t="inlineStr">
        <is>
          <t>Training Office</t>
        </is>
      </c>
      <c r="C48" s="121" t="inlineStr">
        <is>
          <t>+27 82 201 6230</t>
        </is>
      </c>
      <c r="D48" s="122" t="inlineStr">
        <is>
          <t>info@jhbflying.co.za</t>
        </is>
      </c>
      <c r="E48" s="121" t="inlineStr">
        <is>
          <t>Panorama Airfield, Johannesburg South (Eikenhof), Gauteng</t>
        </is>
      </c>
      <c r="F48" s="121" t="inlineStr">
        <is>
          <t>(not publicly listed on site)</t>
        </is>
      </c>
      <c r="G48" s="121" t="inlineStr">
        <is>
          <t>https://www.jhbflying.co.za</t>
        </is>
      </c>
      <c r="H48" s="121" t="inlineStr">
        <is>
          <t>Fixed-wing ATO at Panorama; PPL, Night, hour-building.</t>
        </is>
      </c>
      <c r="I48" s="121" t="inlineStr">
        <is>
          <t>Fixed-wing</t>
        </is>
      </c>
    </row>
    <row r="49">
      <c r="A49" t="inlineStr">
        <is>
          <t>Accolade Flying Wings (Rand)</t>
        </is>
      </c>
      <c r="B49" t="inlineStr">
        <is>
          <t>Training Office</t>
        </is>
      </c>
      <c r="C49" t="inlineStr">
        <is>
          <t>+27 60 985 6622</t>
        </is>
      </c>
      <c r="D49" s="13" t="inlineStr">
        <is>
          <t>info@accoladeflyingwings.co.za</t>
        </is>
      </c>
      <c r="E49" t="inlineStr">
        <is>
          <t>Hangar 54, Rand Airport, 4 Viking Way, Germiston, Gauteng</t>
        </is>
      </c>
      <c r="F49" t="inlineStr">
        <is>
          <t>Tecnam P92; Cessna 172 (Jet-A1); Diamond DA42</t>
        </is>
      </c>
      <c r="G49" t="inlineStr">
        <is>
          <t>https://accoladeflyingwings.co.za</t>
        </is>
      </c>
      <c r="H49" t="inlineStr">
        <is>
          <t>Fixed-wing ATO at Rand; PPL → CPL/ME; diversified training fleet.</t>
        </is>
      </c>
      <c r="I49" t="inlineStr">
        <is>
          <t>Fixed-wing</t>
        </is>
      </c>
    </row>
  </sheetData>
  <mergeCells count="1">
    <mergeCell ref="E3:H19"/>
  </mergeCells>
  <hyperlinks>
    <hyperlink xmlns:r="http://schemas.openxmlformats.org/officeDocument/2006/relationships" ref="B2" r:id="rId1"/>
    <hyperlink xmlns:r="http://schemas.openxmlformats.org/officeDocument/2006/relationships" ref="B3" r:id="rId2"/>
    <hyperlink xmlns:r="http://schemas.openxmlformats.org/officeDocument/2006/relationships" ref="B6" r:id="rId3"/>
    <hyperlink xmlns:r="http://schemas.openxmlformats.org/officeDocument/2006/relationships" ref="B10" r:id="rId4"/>
    <hyperlink xmlns:r="http://schemas.openxmlformats.org/officeDocument/2006/relationships" ref="O42" display="mailto:reception@flyfofa.co.za" r:id="rId5"/>
  </hyperlink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J31"/>
  <sheetViews>
    <sheetView tabSelected="1" topLeftCell="A6" workbookViewId="0">
      <selection activeCell="C5" sqref="C5"/>
    </sheetView>
    <sheetView workbookViewId="1">
      <selection activeCell="A1" sqref="A1"/>
    </sheetView>
  </sheetViews>
  <sheetFormatPr baseColWidth="8" defaultColWidth="11.19921875" defaultRowHeight="13.8"/>
  <cols>
    <col width="42.796875" bestFit="1" customWidth="1" min="2" max="2"/>
    <col width="68.69921875" bestFit="1" customWidth="1" min="3" max="3"/>
    <col width="14.69921875" bestFit="1" customWidth="1" min="4" max="4"/>
    <col width="30.69921875" bestFit="1" customWidth="1" min="5" max="5"/>
    <col width="62" bestFit="1" customWidth="1" min="6" max="6"/>
    <col width="49.69921875" bestFit="1" customWidth="1" min="7" max="7"/>
    <col width="65.5" bestFit="1" customWidth="1" min="8" max="8"/>
    <col width="80" bestFit="1" customWidth="1" min="9" max="9"/>
    <col width="22.796875" bestFit="1" customWidth="1" min="10" max="10"/>
  </cols>
  <sheetData>
    <row r="1" ht="14.4" customHeight="1">
      <c r="B1" s="145" t="inlineStr">
        <is>
          <t>School</t>
        </is>
      </c>
      <c r="C1" s="145" t="inlineStr">
        <is>
          <t>Contact person (role)</t>
        </is>
      </c>
      <c r="D1" s="145" t="inlineStr">
        <is>
          <t>Phone</t>
        </is>
      </c>
      <c r="E1" s="145" t="inlineStr">
        <is>
          <t>Email</t>
        </is>
      </c>
      <c r="F1" s="145" t="inlineStr">
        <is>
          <t>Addresses</t>
        </is>
      </c>
      <c r="G1" s="145" t="inlineStr">
        <is>
          <t>Planes</t>
        </is>
      </c>
      <c r="H1" s="145" t="inlineStr">
        <is>
          <t>Website</t>
        </is>
      </c>
      <c r="I1" s="145" t="inlineStr">
        <is>
          <t>Description</t>
        </is>
      </c>
      <c r="J1" s="145" t="inlineStr">
        <is>
          <t>Type</t>
        </is>
      </c>
    </row>
    <row r="2" ht="15.6" customHeight="1">
      <c r="B2" s="146" t="inlineStr">
        <is>
          <t>43 Air School</t>
        </is>
      </c>
      <c r="C2" s="146" t="inlineStr">
        <is>
          <t>Attie Niemann — Chief Executive Officer</t>
        </is>
      </c>
      <c r="D2" s="146" t="inlineStr">
        <is>
          <t>+27 46 604 3600</t>
        </is>
      </c>
      <c r="E2" s="16" t="inlineStr">
        <is>
          <t>fly@43airschool.com</t>
        </is>
      </c>
      <c r="F2" s="146" t="inlineStr">
        <is>
          <t>Port Alfred Campus, Private Bag X43, Port Alfred 6170</t>
        </is>
      </c>
      <c r="G2" s="146" t="inlineStr">
        <is>
          <t>Cessna 172; Piper PA-28; Beechcraft Baron (multi)</t>
        </is>
      </c>
      <c r="H2" s="147" t="inlineStr">
        <is>
          <t>https://www.43airschool.com/</t>
        </is>
      </c>
      <c r="I2" s="146" t="inlineStr">
        <is>
          <t>Large integrated ATO with multi-base operations and Boeing-approved ATPL programs.</t>
        </is>
      </c>
      <c r="J2" s="146" t="inlineStr">
        <is>
          <t>Fixed-wing</t>
        </is>
      </c>
    </row>
    <row r="3" ht="15.6" customHeight="1">
      <c r="B3" s="146" t="inlineStr">
        <is>
          <t>Progress Flight Academy</t>
        </is>
      </c>
      <c r="C3" s="146" t="inlineStr">
        <is>
          <t>John English — CEO  Owner</t>
        </is>
      </c>
      <c r="D3" s="146" t="inlineStr">
        <is>
          <t>+27 41 451 1196</t>
        </is>
      </c>
      <c r="E3" s="16" t="inlineStr">
        <is>
          <t>info@flightacademy.co.za</t>
        </is>
      </c>
      <c r="F3" s="146" t="inlineStr">
        <is>
          <t>Port Elizabeth International Airport, Walmer, Gqeberha</t>
        </is>
      </c>
      <c r="G3" s="146" t="inlineStr">
        <is>
          <t>Piper Warrior III (PA-28-161); Cessna 172; Piper Seneca</t>
        </is>
      </c>
      <c r="H3" s="147" t="inlineStr">
        <is>
          <t>https://www.flightacademy.co.za/</t>
        </is>
      </c>
      <c r="I3" s="146" t="inlineStr">
        <is>
          <t>Professional pilot training at Gqeberha (Port Elizabeth) with proven fleet for airline pathways.</t>
        </is>
      </c>
      <c r="J3" s="146" t="inlineStr">
        <is>
          <t>Fixed-wing</t>
        </is>
      </c>
    </row>
    <row r="4" ht="15.6" customHeight="1">
      <c r="B4" s="146" t="inlineStr">
        <is>
          <t>Algoa Flying Club (Flight School)</t>
        </is>
      </c>
      <c r="C4" s="146" t="inlineStr">
        <is>
          <t>Michael Thompson — Chief Flying Instructor</t>
        </is>
      </c>
      <c r="D4" s="146" t="inlineStr">
        <is>
          <t>+27 41 581 3274</t>
        </is>
      </c>
      <c r="E4" s="16" t="inlineStr">
        <is>
          <t>info@algoafc.co.za</t>
        </is>
      </c>
      <c r="F4" s="146" t="inlineStr">
        <is>
          <t>Port Elizabeth International Airport, 10 Forest Hill Dr, Walmer, Gqeberha</t>
        </is>
      </c>
      <c r="G4" s="146" t="inlineStr">
        <is>
          <t>Cessna 172; Sling 2; Piper Arrow (PA-28R)</t>
        </is>
      </c>
      <c r="H4" s="147" t="inlineStr">
        <is>
          <t>https://algoafc.co.za/flight-school/</t>
        </is>
      </c>
      <c r="I4" s="146" t="inlineStr">
        <is>
          <t>Not‑for‑profit flying club with SACAA ATO; long-standing ab‑initio to advanced training.</t>
        </is>
      </c>
      <c r="J4" s="146" t="inlineStr">
        <is>
          <t>Fixed-wing</t>
        </is>
      </c>
    </row>
    <row r="5" ht="15.6" customHeight="1">
      <c r="B5" s="146" t="inlineStr">
        <is>
          <t>Madiba Bay School of Flight</t>
        </is>
      </c>
      <c r="C5" s="146" t="inlineStr">
        <is>
          <t>Gerhard van Eeden — Owner  Accountable Manager</t>
        </is>
      </c>
      <c r="D5" s="146" t="inlineStr">
        <is>
          <t>+27 41 581 2040</t>
        </is>
      </c>
      <c r="E5" s="16" t="inlineStr">
        <is>
          <t>info@madibabayschoolofflight.co.za</t>
        </is>
      </c>
      <c r="F5" s="146" t="inlineStr">
        <is>
          <t>Port Elizabeth International Airport, Gqeberha</t>
        </is>
      </c>
      <c r="G5" s="146" t="inlineStr">
        <is>
          <t>Sling 2; Cessna 172; Piper Twin Comanche (PA-30)</t>
        </is>
      </c>
      <c r="H5" s="147" t="inlineStr">
        <is>
          <t>https://www.madibabayschoolofflight.co.za/</t>
        </is>
      </c>
      <c r="I5" s="146" t="inlineStr">
        <is>
          <t>Ab‑initio to advanced training with Sling and legacy Piper types.</t>
        </is>
      </c>
      <c r="J5" s="146" t="inlineStr">
        <is>
          <t>Fixed-wing</t>
        </is>
      </c>
    </row>
    <row r="6" ht="15.6" customHeight="1">
      <c r="B6" s="146" t="inlineStr">
        <is>
          <t>Aptrac Aviation</t>
        </is>
      </c>
      <c r="C6" s="146" t="inlineStr">
        <is>
          <t>Ian Judd — Chief Flight Instructor</t>
        </is>
      </c>
      <c r="D6" s="146" t="inlineStr">
        <is>
          <t>+27 41 581 0300</t>
        </is>
      </c>
      <c r="E6" s="16" t="inlineStr">
        <is>
          <t>info@aptrac.co.za</t>
        </is>
      </c>
      <c r="F6" s="146" t="inlineStr">
        <is>
          <t>Port Elizabeth, Eastern Cape</t>
        </is>
      </c>
      <c r="G6" s="146" t="inlineStr">
        <is>
          <t>Cessna 172; Piper PA-28; Robinson R22</t>
        </is>
      </c>
      <c r="H6" s="147" t="inlineStr">
        <is>
          <t>https://www.bestaviation.net/school/aptrac_aviation/</t>
        </is>
      </c>
      <c r="I6" s="146" t="inlineStr">
        <is>
          <t>Fixed‑wing and helicopter training (per directory listing).</t>
        </is>
      </c>
      <c r="J6" s="146" t="inlineStr">
        <is>
          <t>Fixed-wing and Helicopter</t>
        </is>
      </c>
    </row>
    <row r="7" ht="15.6" customHeight="1">
      <c r="B7" s="146" t="inlineStr">
        <is>
          <t>PTC Aviation</t>
        </is>
      </c>
      <c r="C7" s="146" t="inlineStr">
        <is>
          <t>Wayne Westoby — Director</t>
        </is>
      </c>
      <c r="D7" s="146" t="inlineStr">
        <is>
          <t>+27 87 943 7100</t>
        </is>
      </c>
      <c r="E7" s="16" t="inlineStr">
        <is>
          <t>info@ptcaviation.co.za</t>
        </is>
      </c>
      <c r="F7" s="146" t="inlineStr">
        <is>
          <t>30 Edward Street, Richmond Hill, Gqeberha (Port Elizabeth), 6001</t>
        </is>
      </c>
      <c r="G7" s="146" t="inlineStr">
        <is>
          <t>N/A (Airline training, APS MCC/A320/B737)</t>
        </is>
      </c>
      <c r="H7" s="147" t="inlineStr">
        <is>
          <t>https://www.ptcaviation.co.za/</t>
        </is>
      </c>
      <c r="I7" s="146" t="inlineStr">
        <is>
          <t>Advanced airline-readiness training (APS MCC, A320/B737) rather than ab‑initio.</t>
        </is>
      </c>
      <c r="J7" s="146" t="inlineStr">
        <is>
          <t>Ground/Sim</t>
        </is>
      </c>
    </row>
    <row r="8" ht="15.6" customHeight="1">
      <c r="B8" s="146" t="inlineStr">
        <is>
          <t>Border Aviation Club and Flight School</t>
        </is>
      </c>
      <c r="C8" s="146" t="inlineStr">
        <is>
          <t>Russell Best — Chief Flying Instructor</t>
        </is>
      </c>
      <c r="D8" s="146" t="inlineStr">
        <is>
          <t>+27 43 736 6181</t>
        </is>
      </c>
      <c r="E8" s="16" t="inlineStr">
        <is>
          <t>info@borderaviation.co.za</t>
        </is>
      </c>
      <c r="F8" s="146" t="inlineStr">
        <is>
          <t>East London Airport and Wings Park (EL); Queenstown Airfield</t>
        </is>
      </c>
      <c r="G8" s="146" t="inlineStr">
        <is>
          <t>Piper Archer (PA-28-181); Cessna 172; Sling 2</t>
        </is>
      </c>
      <c r="H8" s="147" t="inlineStr">
        <is>
          <t>https://borderaviation.co.za/</t>
        </is>
      </c>
      <c r="I8" s="146" t="inlineStr">
        <is>
          <t>Club and ATO with three bases offering specialised training environments.</t>
        </is>
      </c>
      <c r="J8" s="146" t="inlineStr">
        <is>
          <t>Fixed-wing</t>
        </is>
      </c>
    </row>
    <row r="9" ht="15.6" customHeight="1">
      <c r="B9" s="146" t="inlineStr">
        <is>
          <t>Flight Training College (FTC)</t>
        </is>
      </c>
      <c r="C9" s="146" t="inlineStr">
        <is>
          <t>Walter Waldeck — Chief Executive Officer</t>
        </is>
      </c>
      <c r="D9" s="146" t="inlineStr">
        <is>
          <t>+27 44 876 9055</t>
        </is>
      </c>
      <c r="E9" s="16" t="inlineStr">
        <is>
          <t>ftc@flighttraining.co.za</t>
        </is>
      </c>
      <c r="F9" s="146" t="inlineStr">
        <is>
          <t>Hangar 27, George Airport, George, Western Cape</t>
        </is>
      </c>
      <c r="G9" s="146" t="inlineStr">
        <is>
          <t>Cessna 152; Cessna 172; Beechcraft Duchess 76</t>
        </is>
      </c>
      <c r="H9" s="147" t="inlineStr">
        <is>
          <t>https://flighttraining.co.za/</t>
        </is>
      </c>
      <c r="I9" s="146" t="inlineStr">
        <is>
          <t>Garden Route-based ATO with single and multi-engine fleet and FNPT II simulator.</t>
        </is>
      </c>
      <c r="J9" s="146" t="inlineStr">
        <is>
          <t>Fixed-wing</t>
        </is>
      </c>
    </row>
    <row r="10" ht="15.6" customHeight="1">
      <c r="B10" s="146" t="inlineStr">
        <is>
          <t>Starlite Aviation Training Academy</t>
        </is>
      </c>
      <c r="C10" s="146" t="inlineStr">
        <is>
          <t>Gustav Grunewald — Head of Training Academy  Accountable Manager</t>
        </is>
      </c>
      <c r="D10" s="146" t="inlineStr">
        <is>
          <t>+27 31 571 6600</t>
        </is>
      </c>
      <c r="E10" s="16" t="inlineStr">
        <is>
          <t>train@starliteaviation.com</t>
        </is>
      </c>
      <c r="F10" s="146" t="inlineStr">
        <is>
          <t>Durban (Virginia Airport) and Mossel Bay, Western Cape</t>
        </is>
      </c>
      <c r="G10" s="146" t="inlineStr">
        <is>
          <t>Robinson R22; Robinson R44; Guimbal Cabri G2</t>
        </is>
      </c>
      <c r="H10" s="147" t="inlineStr">
        <is>
          <t>https://www.starliteaviation.com/training/</t>
        </is>
      </c>
      <c r="I10" s="146" t="inlineStr">
        <is>
          <t>Large helicopter (and some fixed‑wing) training academy with Durban and Mossel Bay bases.</t>
        </is>
      </c>
      <c r="J10" s="146" t="inlineStr">
        <is>
          <t>Helicopter (+FW)</t>
        </is>
      </c>
    </row>
    <row r="11" ht="15.6" customHeight="1">
      <c r="B11" s="146" t="inlineStr">
        <is>
          <t>Virginia Flight School</t>
        </is>
      </c>
      <c r="C11" s="146" t="inlineStr">
        <is>
          <t>Douglas Fraser — Chief Executive Officer</t>
        </is>
      </c>
      <c r="D11" s="146" t="inlineStr">
        <is>
          <t>+27 31 563 2080</t>
        </is>
      </c>
      <c r="E11" s="16" t="inlineStr">
        <is>
          <t>info@vfs.co.za</t>
        </is>
      </c>
      <c r="F11" s="146" t="inlineStr">
        <is>
          <t>220 Fairway, Virginia Airport, Durban North, 4051</t>
        </is>
      </c>
      <c r="G11" s="146" t="inlineStr">
        <is>
          <t>Piper PA-28-140/160; Cessna 172; Piper Seneca II</t>
        </is>
      </c>
      <c r="H11" s="147" t="inlineStr">
        <is>
          <t>https://vfs.co.za/</t>
        </is>
      </c>
      <c r="I11" s="146" t="inlineStr">
        <is>
          <t>Fixed‑wing ATO at Virginia Airport with single and multi‑engine training.</t>
        </is>
      </c>
      <c r="J11" s="146" t="inlineStr">
        <is>
          <t>Fixed-wing</t>
        </is>
      </c>
    </row>
    <row r="12" ht="15.6" customHeight="1">
      <c r="B12" s="146" t="inlineStr">
        <is>
          <t>Pietermaritzburg Aero Club and Flight School</t>
        </is>
      </c>
      <c r="C12" s="146" t="inlineStr">
        <is>
          <t>Telani Lithgow — Chief Flying Instructor</t>
        </is>
      </c>
      <c r="D12" s="146" t="inlineStr">
        <is>
          <t>+27 33 386 1256</t>
        </is>
      </c>
      <c r="E12" s="16" t="inlineStr">
        <is>
          <t>info@pmbac.co.za</t>
        </is>
      </c>
      <c r="F12" s="146" t="inlineStr">
        <is>
          <t>Oribi Airport, Pietermaritzburg</t>
        </is>
      </c>
      <c r="G12" s="146" t="inlineStr">
        <is>
          <t>Sling 2; Cessna 150; Cessna 172</t>
        </is>
      </c>
      <c r="H12" s="147" t="inlineStr">
        <is>
          <t>https://pmbac.co.za/flight-training/</t>
        </is>
      </c>
      <c r="I12" s="146" t="inlineStr">
        <is>
          <t>Historic aero club with active ATO and modernised training fleet.</t>
        </is>
      </c>
      <c r="J12" s="146" t="inlineStr">
        <is>
          <t>Fixed-wing</t>
        </is>
      </c>
    </row>
    <row r="13" ht="15.6" customHeight="1">
      <c r="B13" s="148" t="inlineStr">
        <is>
          <t>Zero Four Air School (status: closed)</t>
        </is>
      </c>
      <c r="C13" s="148" t="inlineStr">
        <is>
          <t>(Reports of closure in 2022; couldn't confirm a current accountable manager)</t>
        </is>
      </c>
      <c r="D13" s="148" t="inlineStr">
        <is>
          <t>+27 39 312 2000</t>
        </is>
      </c>
      <c r="E13" s="149" t="inlineStr">
        <is>
          <t>info@zerofourairschool.co.za</t>
        </is>
      </c>
      <c r="F13" s="148" t="inlineStr">
        <is>
          <t>Hangar 38, Margate Airport, 4275</t>
        </is>
      </c>
      <c r="G13" s="148" t="inlineStr">
        <is>
          <t>Piper PA-28 Cherokee; Cessna 172; (historical)</t>
        </is>
      </c>
      <c r="H13" s="150" t="inlineStr">
        <is>
          <t>https://zerofourairschool.co.za/</t>
        </is>
      </c>
      <c r="I13" s="148" t="inlineStr">
        <is>
          <t>Per public notices, operations ceased; historical data shown for context.</t>
        </is>
      </c>
      <c r="J13" s="148" t="inlineStr">
        <is>
          <t>Fixed-wing (historical)</t>
        </is>
      </c>
    </row>
    <row r="14" ht="15.6" customHeight="1">
      <c r="B14" s="151" t="inlineStr">
        <is>
          <t>Focus Air Flight School</t>
        </is>
      </c>
      <c r="C14" s="151" t="inlineStr">
        <is>
          <t>Fathima Khan — Founder  CEO</t>
        </is>
      </c>
      <c r="D14" s="151" t="inlineStr">
        <is>
          <t>+27 31 313 9786</t>
        </is>
      </c>
      <c r="E14" s="152" t="inlineStr">
        <is>
          <t>info@focusair.co.za</t>
        </is>
      </c>
      <c r="F14" s="151" t="inlineStr">
        <is>
          <t>Hangar 7, Virginia Airport, Durban North, 4051</t>
        </is>
      </c>
      <c r="G14" s="151" t="inlineStr">
        <is>
          <t>Cessna 152; Sling II; (Multi-engine on field)</t>
        </is>
      </c>
      <c r="H14" s="153" t="inlineStr">
        <is>
          <t>https://www.focusair.co.za/</t>
        </is>
      </c>
      <c r="I14" s="151" t="inlineStr">
        <is>
          <t>Durban-based ATO with single‑engine trainers and multi-engine capability.</t>
        </is>
      </c>
      <c r="J14" s="151" t="inlineStr">
        <is>
          <t>Fixed-wing</t>
        </is>
      </c>
    </row>
    <row r="15" ht="15.6" customHeight="1">
      <c r="B15" s="146" t="inlineStr">
        <is>
          <t>Durban Aviation Centre</t>
        </is>
      </c>
      <c r="C15" s="146" t="inlineStr">
        <is>
          <t>Not publicly listed (no authoritative page naming CEO/CFI)</t>
        </is>
      </c>
      <c r="D15" s="146" t="inlineStr">
        <is>
          <t>+27 31 573 2995</t>
        </is>
      </c>
      <c r="E15" s="16" t="inlineStr">
        <is>
          <t>info@durbanaviationcentre.com</t>
        </is>
      </c>
      <c r="F15" s="146" t="inlineStr">
        <is>
          <t>Suite 19, Main Terminal, Virginia Airport, Durban 4051</t>
        </is>
      </c>
      <c r="G15" s="146" t="inlineStr">
        <is>
          <t>Jabiru SP120; Sling II; Cessna 152</t>
        </is>
      </c>
      <c r="H15" s="147" t="inlineStr">
        <is>
          <t>http://www.durbanaviationcentre.com/</t>
        </is>
      </c>
      <c r="I15" s="146" t="inlineStr">
        <is>
          <t>Long‑established Durban ATO with one‑to‑one instruction and light trainer fleet.</t>
        </is>
      </c>
      <c r="J15" s="146" t="inlineStr">
        <is>
          <t>Fixed-wing</t>
        </is>
      </c>
    </row>
    <row r="16" ht="15.6" customHeight="1">
      <c r="B16" s="146" t="inlineStr">
        <is>
          <t>Ayre Aviation Centre</t>
        </is>
      </c>
      <c r="C16" s="146" t="inlineStr">
        <is>
          <t>Not publicly listed (no authoritative page naming CEO/CFI)</t>
        </is>
      </c>
      <c r="D16" s="146" t="inlineStr">
        <is>
          <t>+27 31 564 8765</t>
        </is>
      </c>
      <c r="E16" s="16" t="inlineStr">
        <is>
          <t>info@flyayre.com</t>
        </is>
      </c>
      <c r="F16" s="146" t="inlineStr">
        <is>
          <t>Virginia Airport, Durban North</t>
        </is>
      </c>
      <c r="G16" s="146" t="inlineStr">
        <is>
          <t>Cessna 172; Piper PA-28; Sling 2</t>
        </is>
      </c>
      <c r="H16" s="147" t="inlineStr">
        <is>
          <t>http://flyayre.com/</t>
        </is>
      </c>
      <c r="I16" s="146" t="inlineStr">
        <is>
          <t>Virginia Airport-based ATO providing fixed‑wing training.</t>
        </is>
      </c>
      <c r="J16" s="146" t="inlineStr">
        <is>
          <t>Fixed-wing</t>
        </is>
      </c>
    </row>
    <row r="17" ht="15.6" customHeight="1">
      <c r="B17" s="146" t="inlineStr">
        <is>
          <t>Mossel Bay Helicopters (Flight School)</t>
        </is>
      </c>
      <c r="C17" s="146" t="inlineStr">
        <is>
          <t>Kobus Crous — Owner</t>
        </is>
      </c>
      <c r="D17" s="146" t="inlineStr">
        <is>
          <t>+27 44 695 1660</t>
        </is>
      </c>
      <c r="E17" s="16" t="inlineStr">
        <is>
          <t>info@mosselbayhelicopters.co.za</t>
        </is>
      </c>
      <c r="F17" s="146" t="inlineStr">
        <is>
          <t>69 Rooikat Street, Aalwyndal, Mossel Bay 6500</t>
        </is>
      </c>
      <c r="G17" s="146" t="inlineStr">
        <is>
          <t>Robinson R22; Robinson R44; Bell 206</t>
        </is>
      </c>
      <c r="H17" s="147" t="inlineStr">
        <is>
          <t>https://mosselbayhelicopters.co.za/flightschool/</t>
        </is>
      </c>
      <c r="I17" s="146" t="inlineStr">
        <is>
          <t>Helicopter ATO offering PPL(H) to CPL(H) with coastal operating area.</t>
        </is>
      </c>
      <c r="J17" s="146" t="inlineStr">
        <is>
          <t>Helicopter</t>
        </is>
      </c>
    </row>
    <row r="18" ht="15.6" customHeight="1">
      <c r="B18" s="146" t="inlineStr">
        <is>
          <t>Westline Aviation</t>
        </is>
      </c>
      <c r="C18" s="146" t="inlineStr">
        <is>
          <t>Charlie Marais — Chief Executive Officer</t>
        </is>
      </c>
      <c r="D18" s="146" t="inlineStr">
        <is>
          <t>+27 51 451 1717</t>
        </is>
      </c>
      <c r="E18" s="16" t="inlineStr">
        <is>
          <t>info@westline.co.za</t>
        </is>
      </c>
      <c r="F18" s="146" t="inlineStr">
        <is>
          <t>2B New Tempe Airport, Kenilworth Rd, Bloemfontein</t>
        </is>
      </c>
      <c r="G18" s="146" t="inlineStr">
        <is>
          <t>Robinson R22; Robinson R44; Cessna 172</t>
        </is>
      </c>
      <c r="H18" s="147" t="inlineStr">
        <is>
          <t>https://www.facebook.com/westlineaviation/</t>
        </is>
      </c>
      <c r="I18" s="146" t="inlineStr">
        <is>
          <t>Offers both helicopter and fixed‑wing training at Tempe, Bloemfontein.</t>
        </is>
      </c>
      <c r="J18" s="146" t="inlineStr">
        <is>
          <t>Fixed-wing and Helicopter</t>
        </is>
      </c>
    </row>
    <row r="19" ht="15.6" customFormat="1" customHeight="1" s="121">
      <c r="A19" s="121" t="inlineStr">
        <is>
          <t>Duplicate</t>
        </is>
      </c>
      <c r="B19" s="192" t="inlineStr">
        <is>
          <t>Eagle Flight Academy (Bloemfontein/Hartswater)</t>
        </is>
      </c>
      <c r="C19" s="192" t="inlineStr">
        <is>
          <t>D. J. Lubbe — Chief Flying Instructor (also referenced as owner/senior instructor)</t>
        </is>
      </c>
      <c r="D19" s="192" t="inlineStr">
        <is>
          <t>+27 51 007 0007</t>
        </is>
      </c>
      <c r="E19" s="127" t="inlineStr">
        <is>
          <t>training@eagleflight.co.za</t>
        </is>
      </c>
      <c r="F19" s="192" t="inlineStr">
        <is>
          <t>Stand B5, New Tempe Airport, Kenilworth Rd, Bloemfontein 9300</t>
        </is>
      </c>
      <c r="G19" s="192" t="inlineStr">
        <is>
          <t>Cessna 172; Piper Aztec/Seneca; Mooney M20C (complex)</t>
        </is>
      </c>
      <c r="H19" s="193" t="inlineStr">
        <is>
          <t>https://eagleflight.co.za/</t>
        </is>
      </c>
      <c r="I19" s="192" t="inlineStr">
        <is>
          <t>Fixed‑wing ATO with single, complex and multi‑engine training and FNPT II.</t>
        </is>
      </c>
      <c r="J19" s="192" t="inlineStr">
        <is>
          <t>Fixed-wing</t>
        </is>
      </c>
    </row>
    <row r="20" ht="15.6" customHeight="1">
      <c r="B20" s="146" t="inlineStr">
        <is>
          <t>Bloem Flying School</t>
        </is>
      </c>
      <c r="C20" s="146" t="inlineStr">
        <is>
          <t>Not publicly listed</t>
        </is>
      </c>
      <c r="D20" s="146" t="inlineStr">
        <is>
          <t>+27 82 458 4141</t>
        </is>
      </c>
      <c r="E20" s="16" t="inlineStr">
        <is>
          <t>info@bloemflyingschool.co.za</t>
        </is>
      </c>
      <c r="F20" s="146" t="inlineStr">
        <is>
          <t>New Tempe Airport, Bloemfontein</t>
        </is>
      </c>
      <c r="G20" s="146" t="inlineStr">
        <is>
          <t>Cessna 150; Cessna 172; Light Sport (LSA)</t>
        </is>
      </c>
      <c r="H20" s="147" t="inlineStr">
        <is>
          <t>https://m.facebook.com/bloemflyingschool/about/</t>
        </is>
      </c>
      <c r="I20" s="146" t="inlineStr">
        <is>
          <t>Microlight/LSA and PPL training at Tempe.</t>
        </is>
      </c>
      <c r="J20" s="146" t="inlineStr">
        <is>
          <t>Fixed-wing</t>
        </is>
      </c>
    </row>
    <row r="21" ht="15.6" customHeight="1">
      <c r="B21" s="146" t="inlineStr">
        <is>
          <t>Mid Air Charter and Training</t>
        </is>
      </c>
      <c r="C21" s="146" t="inlineStr">
        <is>
          <t>Not publicly listed</t>
        </is>
      </c>
      <c r="D21" s="146" t="inlineStr">
        <is>
          <t>+27 51 451 1225</t>
        </is>
      </c>
      <c r="E21" s="146" t="inlineStr">
        <is>
          <t>—</t>
        </is>
      </c>
      <c r="F21" s="146" t="inlineStr">
        <is>
          <t>Tempe Airport, 2312 Kenilworth Rd, Bloemfontein</t>
        </is>
      </c>
      <c r="G21" s="146" t="inlineStr">
        <is>
          <t>Cessna 172; Piper PA-28; Cessna 150</t>
        </is>
      </c>
      <c r="H21" s="147" t="inlineStr">
        <is>
          <t>https://www.thinklocal.co.za/biz/mid-air-charter-and-training-bloemfontein</t>
        </is>
      </c>
      <c r="I21" s="146" t="inlineStr">
        <is>
          <t>Charter and ATO providing ab‑initio training at Tempe.</t>
        </is>
      </c>
      <c r="J21" s="146" t="inlineStr">
        <is>
          <t>Fixed-wing</t>
        </is>
      </c>
    </row>
    <row r="22" ht="15.6" customHeight="1">
      <c r="B22" s="146" t="inlineStr">
        <is>
          <t>Fantini Air Flight Academy</t>
        </is>
      </c>
      <c r="C22" s="146" t="inlineStr">
        <is>
          <t>Not publicly listed</t>
        </is>
      </c>
      <c r="D22" s="146" t="inlineStr">
        <is>
          <t>+27 56 212 8474</t>
        </is>
      </c>
      <c r="E22" s="16" t="inlineStr">
        <is>
          <t>info@fantiniair.co.za</t>
        </is>
      </c>
      <c r="F22" s="146" t="inlineStr">
        <is>
          <t>Kroonstad Airport, Free State</t>
        </is>
      </c>
      <c r="G22" s="146" t="inlineStr">
        <is>
          <t>Cessna 172; Piper PA-28; Sling 2</t>
        </is>
      </c>
      <c r="H22" s="147" t="inlineStr">
        <is>
          <t>https://fantiniair.co.za/</t>
        </is>
      </c>
      <c r="I22" s="146" t="inlineStr">
        <is>
          <t>Kroonstad-based flight academy and AMO (SACAA/1094).</t>
        </is>
      </c>
      <c r="J22" s="146" t="inlineStr">
        <is>
          <t>Fixed-wing</t>
        </is>
      </c>
    </row>
    <row r="23" ht="15.6" customHeight="1">
      <c r="B23" s="146" t="inlineStr">
        <is>
          <t>Grace Air</t>
        </is>
      </c>
      <c r="C23" s="146" t="inlineStr">
        <is>
          <t>Not publicly listed</t>
        </is>
      </c>
      <c r="D23" s="146" t="inlineStr">
        <is>
          <t>—</t>
        </is>
      </c>
      <c r="E23" s="146" t="inlineStr">
        <is>
          <t>—</t>
        </is>
      </c>
      <c r="F23" s="146" t="inlineStr">
        <is>
          <t>Kroonstad Airport, Free State</t>
        </is>
      </c>
      <c r="G23" s="146" t="n"/>
      <c r="H23" s="146" t="n"/>
      <c r="I23" s="146" t="inlineStr">
        <is>
          <t>Unable to verify active flight school operations from current public sources.</t>
        </is>
      </c>
      <c r="J23" s="146" t="inlineStr">
        <is>
          <t>—</t>
        </is>
      </c>
    </row>
    <row r="24" ht="15.6" customHeight="1">
      <c r="B24" s="146" t="inlineStr">
        <is>
          <t>Paramount Aviation Academy</t>
        </is>
      </c>
      <c r="C24" s="146" t="inlineStr">
        <is>
          <t>Not publicly listed</t>
        </is>
      </c>
      <c r="D24" s="146" t="inlineStr">
        <is>
          <t>+27 58 303 1439</t>
        </is>
      </c>
      <c r="E24" s="16" t="inlineStr">
        <is>
          <t>admin@flyparamount.co.za</t>
        </is>
      </c>
      <c r="F24" s="146" t="inlineStr">
        <is>
          <t>Bethlehem Airport, Free State</t>
        </is>
      </c>
      <c r="G24" s="146" t="inlineStr">
        <is>
          <t>Cessna 172; Piper PA-28; Beechcraft Baron/BE76</t>
        </is>
      </c>
      <c r="H24" s="147" t="inlineStr">
        <is>
          <t>https://flyparamount.co.za/</t>
        </is>
      </c>
      <c r="I24" s="146" t="inlineStr">
        <is>
          <t>Bethlehem-based ATO with controlled airfield and on‑field ATC/VOR.</t>
        </is>
      </c>
      <c r="J24" s="146" t="inlineStr">
        <is>
          <t>Fixed-wing</t>
        </is>
      </c>
    </row>
    <row r="25" ht="15.6" customHeight="1">
      <c r="B25" s="146" t="inlineStr">
        <is>
          <t>Lowveld Aero Club (Flight School)</t>
        </is>
      </c>
      <c r="C25" s="146" t="inlineStr">
        <is>
          <t>Not publicly listed</t>
        </is>
      </c>
      <c r="D25" s="146" t="inlineStr">
        <is>
          <t>+27 13 741 2146</t>
        </is>
      </c>
      <c r="E25" s="16" t="inlineStr">
        <is>
          <t>admin@lac.co.za</t>
        </is>
      </c>
      <c r="F25" s="146" t="inlineStr">
        <is>
          <t>Nelspruit Airfield (FANS), Mbombela</t>
        </is>
      </c>
      <c r="G25" s="146" t="inlineStr">
        <is>
          <t>Cessna 172; Sling 2; Piper PA-28</t>
        </is>
      </c>
      <c r="H25" s="147" t="inlineStr">
        <is>
          <t>https://lac.co.za/</t>
        </is>
      </c>
      <c r="I25" s="146" t="inlineStr">
        <is>
          <t>Aero club offering flight training and hangarage at Nelspruit.</t>
        </is>
      </c>
      <c r="J25" s="146" t="inlineStr">
        <is>
          <t>Fixed-wing</t>
        </is>
      </c>
    </row>
    <row r="26" ht="15.6" customHeight="1">
      <c r="B26" s="146" t="inlineStr">
        <is>
          <t>Saphire Blue Flight Training</t>
        </is>
      </c>
      <c r="C26" s="146" t="inlineStr">
        <is>
          <t>Not publicly listed</t>
        </is>
      </c>
      <c r="D26" s="146" t="inlineStr">
        <is>
          <t>—</t>
        </is>
      </c>
      <c r="E26" s="146" t="inlineStr">
        <is>
          <t>—</t>
        </is>
      </c>
      <c r="F26" s="146" t="inlineStr">
        <is>
          <t>Mbombela (Nelspruit)</t>
        </is>
      </c>
      <c r="G26" s="146" t="inlineStr">
        <is>
          <t>Sling 2; Cessna 172; Robinson R44 (affiliate)</t>
        </is>
      </c>
      <c r="H26" s="147" t="inlineStr">
        <is>
          <t>https://klcbt.co.za/saphire-blue/</t>
        </is>
      </c>
      <c r="I26" s="146" t="inlineStr">
        <is>
          <t>Aviation company with fixed‑wing and helicopter services; limited public ATO details.</t>
        </is>
      </c>
      <c r="J26" s="146" t="inlineStr">
        <is>
          <t>Fixed-wing and Helicopter</t>
        </is>
      </c>
    </row>
    <row r="27" ht="15.6" customHeight="1">
      <c r="B27" s="146" t="inlineStr">
        <is>
          <t>Kishugu Flight Academy</t>
        </is>
      </c>
      <c r="C27" s="146" t="inlineStr">
        <is>
          <t>Not publicly listed</t>
        </is>
      </c>
      <c r="D27" s="146" t="inlineStr">
        <is>
          <t>+27 13 753 7500</t>
        </is>
      </c>
      <c r="E27" s="16" t="inlineStr">
        <is>
          <t>info@kishugu.com</t>
        </is>
      </c>
      <c r="F27" s="146" t="inlineStr">
        <is>
          <t>Kishugu Aviation, 6 Copper Crescent, Nelspruit 1200</t>
        </is>
      </c>
      <c r="G27" s="146" t="inlineStr">
        <is>
          <t>Robinson R44; Cessna 172; Bell 206</t>
        </is>
      </c>
      <c r="H27" s="147" t="inlineStr">
        <is>
          <t>https://kishugu.com/contact/</t>
        </is>
      </c>
      <c r="I27" s="146" t="inlineStr">
        <is>
          <t>Part of Kishugu Aviation (firefighting); provides pilot training and operations.</t>
        </is>
      </c>
      <c r="J27" s="146" t="inlineStr">
        <is>
          <t>Fixed-wing and Helicopter</t>
        </is>
      </c>
    </row>
    <row r="28" ht="15.6" customHeight="1">
      <c r="B28" s="146" t="inlineStr">
        <is>
          <t>OFA Ermelo Flight School (MyWings)</t>
        </is>
      </c>
      <c r="C28" s="146" t="inlineStr">
        <is>
          <t>Not publicly listed</t>
        </is>
      </c>
      <c r="D28" s="146" t="inlineStr">
        <is>
          <t>+27 71 837 7363</t>
        </is>
      </c>
      <c r="E28" s="16" t="inlineStr">
        <is>
          <t>info@mywings.co.za</t>
        </is>
      </c>
      <c r="F28" s="146" t="inlineStr">
        <is>
          <t>Office 1, Ermelo Airport, Ermelo, Mpumalanga</t>
        </is>
      </c>
      <c r="G28" s="146" t="inlineStr">
        <is>
          <t>Sling 2; Cessna 172; Piper PA-28</t>
        </is>
      </c>
      <c r="H28" s="147" t="inlineStr">
        <is>
          <t>https://mywings.co.za/flight-school/</t>
        </is>
      </c>
      <c r="I28" s="146" t="inlineStr">
        <is>
          <t>Outeniqua Flight Academy/‘MyWings’ branding; fixed‑wing PPL/CPL and charter.</t>
        </is>
      </c>
      <c r="J28" s="146" t="inlineStr">
        <is>
          <t>Fixed-wing</t>
        </is>
      </c>
    </row>
    <row r="29" ht="15.6" customHeight="1">
      <c r="B29" s="146" t="inlineStr">
        <is>
          <t>Leading Edge Flight School</t>
        </is>
      </c>
      <c r="C29" s="146" t="inlineStr">
        <is>
          <t>Not publicly listed</t>
        </is>
      </c>
      <c r="D29" s="146" t="inlineStr">
        <is>
          <t>+27 15 793 2585</t>
        </is>
      </c>
      <c r="E29" s="16" t="inlineStr">
        <is>
          <t>training@lefsa.co.za</t>
        </is>
      </c>
      <c r="F29" s="146" t="inlineStr">
        <is>
          <t>Hoedspruit Civil Airfield, Hoedspruit</t>
        </is>
      </c>
      <c r="G29" s="146" t="inlineStr">
        <is>
          <t>Cessna 172; Piper PA-28; Sling 2</t>
        </is>
      </c>
      <c r="H29" s="147" t="inlineStr">
        <is>
          <t>https://www.leadingedgeflight.co.za/</t>
        </is>
      </c>
      <c r="I29" s="146" t="inlineStr">
        <is>
          <t>Lowveld-based ATO at Hoedspruit offering PPL to CPL.</t>
        </is>
      </c>
      <c r="J29" s="146" t="inlineStr">
        <is>
          <t>Fixed-wing</t>
        </is>
      </c>
    </row>
    <row r="30" ht="15.6" customHeight="1">
      <c r="B30" s="146" t="inlineStr">
        <is>
          <t>Limpopo Flight School</t>
        </is>
      </c>
      <c r="C30" s="146" t="inlineStr">
        <is>
          <t>Not publicly listed</t>
        </is>
      </c>
      <c r="D30" s="146" t="inlineStr">
        <is>
          <t>+27 15 288 0069</t>
        </is>
      </c>
      <c r="E30" s="16" t="inlineStr">
        <is>
          <t>info@limpopoflightschool.co.za</t>
        </is>
      </c>
      <c r="F30" s="146" t="inlineStr">
        <is>
          <t>Polokwane Airport, Limpopo</t>
        </is>
      </c>
      <c r="G30" s="146" t="inlineStr">
        <is>
          <t>Cessna 172; Piper PA-28; Sling 2</t>
        </is>
      </c>
      <c r="H30" s="147" t="inlineStr">
        <is>
          <t>https://limpopoflightschool.co.za/</t>
        </is>
      </c>
      <c r="I30" s="146" t="inlineStr">
        <is>
          <t>Polokwane-based ATO providing fixed‑wing training.</t>
        </is>
      </c>
      <c r="J30" s="146" t="inlineStr">
        <is>
          <t>Fixed-wing</t>
        </is>
      </c>
    </row>
    <row r="31" ht="15.6" customHeight="1">
      <c r="B31" s="146" t="inlineStr">
        <is>
          <t>Heritage Aviation</t>
        </is>
      </c>
      <c r="C31" s="146" t="inlineStr">
        <is>
          <t>Not publicly listed</t>
        </is>
      </c>
      <c r="D31" s="146" t="inlineStr">
        <is>
          <t>+27 79 867 2244</t>
        </is>
      </c>
      <c r="E31" s="16" t="inlineStr">
        <is>
          <t>fly@heritageaviation.co.za</t>
        </is>
      </c>
      <c r="F31" s="146" t="inlineStr">
        <is>
          <t>Swellendam Airport, Western Cape</t>
        </is>
      </c>
      <c r="G31" s="146" t="inlineStr">
        <is>
          <t>Sling 2; Cessna 172; Piper PA-28</t>
        </is>
      </c>
      <c r="H31" s="147" t="inlineStr">
        <is>
          <t>https://www.heritageaviation.co.za/</t>
        </is>
      </c>
      <c r="I31" s="146" t="inlineStr">
        <is>
          <t>ATO at Swellendam offering scenic area training and hire and fly.</t>
        </is>
      </c>
      <c r="J31" s="146" t="inlineStr">
        <is>
          <t>Fixed-wing</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E4" r:id="rId3"/>
    <hyperlink xmlns:r="http://schemas.openxmlformats.org/officeDocument/2006/relationships" ref="H4" r:id="rId4"/>
    <hyperlink xmlns:r="http://schemas.openxmlformats.org/officeDocument/2006/relationships" ref="H5" r:id="rId5"/>
    <hyperlink xmlns:r="http://schemas.openxmlformats.org/officeDocument/2006/relationships" ref="H6" r:id="rId6"/>
    <hyperlink xmlns:r="http://schemas.openxmlformats.org/officeDocument/2006/relationships" ref="H7" r:id="rId7"/>
    <hyperlink xmlns:r="http://schemas.openxmlformats.org/officeDocument/2006/relationships" ref="H8" r:id="rId8"/>
    <hyperlink xmlns:r="http://schemas.openxmlformats.org/officeDocument/2006/relationships" ref="H9" r:id="rId9"/>
    <hyperlink xmlns:r="http://schemas.openxmlformats.org/officeDocument/2006/relationships" ref="H10" r:id="rId10"/>
    <hyperlink xmlns:r="http://schemas.openxmlformats.org/officeDocument/2006/relationships" ref="H11" r:id="rId11"/>
    <hyperlink xmlns:r="http://schemas.openxmlformats.org/officeDocument/2006/relationships" ref="H12" r:id="rId12"/>
    <hyperlink xmlns:r="http://schemas.openxmlformats.org/officeDocument/2006/relationships" ref="H13" r:id="rId13"/>
    <hyperlink xmlns:r="http://schemas.openxmlformats.org/officeDocument/2006/relationships" ref="H14" r:id="rId14"/>
    <hyperlink xmlns:r="http://schemas.openxmlformats.org/officeDocument/2006/relationships" ref="H15" r:id="rId15"/>
    <hyperlink xmlns:r="http://schemas.openxmlformats.org/officeDocument/2006/relationships" ref="H16" r:id="rId16"/>
    <hyperlink xmlns:r="http://schemas.openxmlformats.org/officeDocument/2006/relationships" ref="H17" r:id="rId17"/>
    <hyperlink xmlns:r="http://schemas.openxmlformats.org/officeDocument/2006/relationships" ref="H18" r:id="rId18"/>
    <hyperlink xmlns:r="http://schemas.openxmlformats.org/officeDocument/2006/relationships" ref="H19" r:id="rId19"/>
    <hyperlink xmlns:r="http://schemas.openxmlformats.org/officeDocument/2006/relationships" ref="H20" r:id="rId20"/>
    <hyperlink xmlns:r="http://schemas.openxmlformats.org/officeDocument/2006/relationships" ref="H21" r:id="rId21"/>
    <hyperlink xmlns:r="http://schemas.openxmlformats.org/officeDocument/2006/relationships" ref="H22"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Edrich Uys</dc:creator>
  <dcterms:created xmlns:dcterms="http://purl.org/dc/terms/" xmlns:xsi="http://www.w3.org/2001/XMLSchema-instance" xsi:type="dcterms:W3CDTF">2019-06-20T09:35:30Z</dcterms:created>
  <dcterms:modified xmlns:dcterms="http://purl.org/dc/terms/" xmlns:xsi="http://www.w3.org/2001/XMLSchema-instance" xsi:type="dcterms:W3CDTF">2025-11-03T01:53:25Z</dcterms:modified>
  <cp:lastModifiedBy>Edrich Uys</cp:lastModifiedBy>
</cp:coreProperties>
</file>